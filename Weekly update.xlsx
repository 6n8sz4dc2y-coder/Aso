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- Q3" sheetId="1" r:id="rId5"/>
    <sheet state="visible" name="2026 - Q2" sheetId="2" r:id="rId6"/>
  </sheets>
  <definedNames/>
  <calcPr/>
</workbook>
</file>

<file path=xl/sharedStrings.xml><?xml version="1.0" encoding="utf-8"?>
<sst xmlns="http://schemas.openxmlformats.org/spreadsheetml/2006/main" count="212" uniqueCount="51">
  <si>
    <t>REGISTRATIONS (COUNTING)</t>
  </si>
  <si>
    <t>Updated</t>
  </si>
  <si>
    <t>By</t>
  </si>
  <si>
    <t>JULY</t>
  </si>
  <si>
    <t>AUG</t>
  </si>
  <si>
    <t>SEPT</t>
  </si>
  <si>
    <t>TOTAL</t>
  </si>
  <si>
    <t>Counting</t>
  </si>
  <si>
    <t>CLCP Regs</t>
  </si>
  <si>
    <t>Counting Fleet</t>
  </si>
  <si>
    <t>Total</t>
  </si>
  <si>
    <t>Target</t>
  </si>
  <si>
    <t>TO GO</t>
  </si>
  <si>
    <t>PER WEEK</t>
  </si>
  <si>
    <t>QTR REGS</t>
  </si>
  <si>
    <t>TARGET</t>
  </si>
  <si>
    <t>REGS v TGT</t>
  </si>
  <si>
    <t>Bolton</t>
  </si>
  <si>
    <t>Bury</t>
  </si>
  <si>
    <t>Rochdale</t>
  </si>
  <si>
    <t>SQ</t>
  </si>
  <si>
    <t>NORTH CDA</t>
  </si>
  <si>
    <t>Bradford</t>
  </si>
  <si>
    <t>Huddersfield</t>
  </si>
  <si>
    <t>Silsden</t>
  </si>
  <si>
    <t>WY CDA</t>
  </si>
  <si>
    <t>REGISTRATIONS (NON-COUNTING)</t>
  </si>
  <si>
    <t>Non-Counting Fleet (Reg)</t>
  </si>
  <si>
    <t>Non-Counting Fleet (Unreg)</t>
  </si>
  <si>
    <t>Budget</t>
  </si>
  <si>
    <t>Salford</t>
  </si>
  <si>
    <t>USED COUNTING VOLUME</t>
  </si>
  <si>
    <t xml:space="preserve">CENTRE FLEET (BCH ) </t>
  </si>
  <si>
    <t>Q3</t>
  </si>
  <si>
    <t>Active Orders</t>
  </si>
  <si>
    <t>Regs</t>
  </si>
  <si>
    <t xml:space="preserve"> </t>
  </si>
  <si>
    <t>APR</t>
  </si>
  <si>
    <t>MAY</t>
  </si>
  <si>
    <t>JUNE</t>
  </si>
  <si>
    <t>B/FWD</t>
  </si>
  <si>
    <t>DH</t>
  </si>
  <si>
    <t>TP</t>
  </si>
  <si>
    <t>PF</t>
  </si>
  <si>
    <t>DP</t>
  </si>
  <si>
    <t>SA</t>
  </si>
  <si>
    <t>CM</t>
  </si>
  <si>
    <t>RM</t>
  </si>
  <si>
    <t>APRIL</t>
  </si>
  <si>
    <t>`</t>
  </si>
  <si>
    <t>WR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</si>
</sst>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/yy"/>
  </numFmts>
  <fonts count="14">
    <font>
      <sz val="10.0"/>
      <color rgb="FF000000"/>
      <name val="Arial"/>
      <scheme val="minor"/>
    </font>
    <font>
      <b/>
      <sz val="11.0"/>
      <color rgb="FF000000"/>
      <name val="Calibri"/>
    </font>
    <font/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0.0"/>
      <color rgb="FF000000"/>
      <name val="Arial"/>
    </font>
    <font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3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8" fillId="0" fontId="2" numFmtId="0" xfId="0" applyBorder="1" applyFont="1"/>
    <xf borderId="7" fillId="0" fontId="3" numFmtId="0" xfId="0" applyBorder="1" applyFont="1"/>
    <xf borderId="9" fillId="0" fontId="3" numFmtId="0" xfId="0" applyBorder="1" applyFont="1"/>
    <xf borderId="7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1"/>
    </xf>
    <xf borderId="8" fillId="0" fontId="1" numFmtId="0" xfId="0" applyAlignment="1" applyBorder="1" applyFont="1">
      <alignment readingOrder="0" shrinkToFit="0" vertical="bottom" wrapText="1"/>
    </xf>
    <xf borderId="7" fillId="0" fontId="1" numFmtId="0" xfId="0" applyAlignment="1" applyBorder="1" applyFont="1">
      <alignment readingOrder="0" shrinkToFit="0" vertical="bottom" wrapText="1"/>
    </xf>
    <xf borderId="9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7" fillId="0" fontId="7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2" fontId="7" numFmtId="0" xfId="0" applyAlignment="1" applyFill="1" applyFont="1">
      <alignment readingOrder="0" shrinkToFit="0" vertical="bottom" wrapText="0"/>
    </xf>
    <xf borderId="0" fillId="3" fontId="7" numFmtId="0" xfId="0" applyAlignment="1" applyFill="1" applyFont="1">
      <alignment horizontal="right" readingOrder="0" vertical="bottom"/>
    </xf>
    <xf borderId="0" fillId="0" fontId="7" numFmtId="9" xfId="0" applyAlignment="1" applyFont="1" applyNumberFormat="1">
      <alignment horizontal="right" readingOrder="0" vertical="bottom"/>
    </xf>
    <xf borderId="8" fillId="3" fontId="7" numFmtId="0" xfId="0" applyAlignment="1" applyBorder="1" applyFont="1">
      <alignment horizontal="right" readingOrder="0" vertical="bottom"/>
    </xf>
    <xf borderId="7" fillId="4" fontId="7" numFmtId="0" xfId="0" applyAlignment="1" applyBorder="1" applyFill="1" applyFont="1">
      <alignment horizontal="right" readingOrder="0" vertical="bottom"/>
    </xf>
    <xf borderId="9" fillId="0" fontId="7" numFmtId="0" xfId="0" applyAlignment="1" applyBorder="1" applyFont="1">
      <alignment readingOrder="0" shrinkToFit="0" vertical="bottom" wrapText="0"/>
    </xf>
    <xf borderId="0" fillId="0" fontId="3" numFmtId="0" xfId="0" applyFont="1"/>
    <xf borderId="9" fillId="0" fontId="9" numFmtId="9" xfId="0" applyAlignment="1" applyBorder="1" applyFont="1" applyNumberFormat="1">
      <alignment readingOrder="0"/>
    </xf>
    <xf borderId="0" fillId="5" fontId="3" numFmtId="164" xfId="0" applyAlignment="1" applyFill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0" fillId="0" fontId="7" numFmtId="0" xfId="0" applyAlignment="1" applyBorder="1" applyFont="1">
      <alignment horizontal="right" readingOrder="0" vertical="bottom"/>
    </xf>
    <xf borderId="10" fillId="0" fontId="7" numFmtId="0" xfId="0" applyAlignment="1" applyBorder="1" applyFont="1">
      <alignment readingOrder="0" vertical="bottom"/>
    </xf>
    <xf borderId="7" fillId="0" fontId="10" numFmtId="0" xfId="0" applyAlignment="1" applyBorder="1" applyFont="1">
      <alignment readingOrder="0" shrinkToFit="0" vertical="bottom" wrapText="0"/>
    </xf>
    <xf borderId="11" fillId="2" fontId="10" numFmtId="0" xfId="0" applyAlignment="1" applyBorder="1" applyFont="1">
      <alignment readingOrder="0" shrinkToFit="0" vertical="bottom" wrapText="0"/>
    </xf>
    <xf borderId="11" fillId="2" fontId="11" numFmtId="0" xfId="0" applyAlignment="1" applyBorder="1" applyFont="1">
      <alignment horizontal="right" vertical="bottom"/>
    </xf>
    <xf borderId="0" fillId="0" fontId="10" numFmtId="9" xfId="0" applyAlignment="1" applyFont="1" applyNumberFormat="1">
      <alignment horizontal="right" readingOrder="0" vertical="bottom"/>
    </xf>
    <xf borderId="12" fillId="2" fontId="10" numFmtId="0" xfId="0" applyAlignment="1" applyBorder="1" applyFont="1">
      <alignment readingOrder="0" shrinkToFit="0" vertical="bottom" wrapText="0"/>
    </xf>
    <xf borderId="13" fillId="2" fontId="10" numFmtId="0" xfId="0" applyAlignment="1" applyBorder="1" applyFont="1">
      <alignment readingOrder="0" shrinkToFit="0" vertical="bottom" wrapText="0"/>
    </xf>
    <xf borderId="14" fillId="2" fontId="10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readingOrder="0" shrinkToFit="0" vertical="bottom" wrapText="0"/>
    </xf>
    <xf borderId="16" fillId="2" fontId="10" numFmtId="0" xfId="0" applyAlignment="1" applyBorder="1" applyFont="1">
      <alignment readingOrder="0" shrinkToFit="0" vertical="bottom" wrapText="0"/>
    </xf>
    <xf borderId="16" fillId="2" fontId="11" numFmtId="0" xfId="0" applyAlignment="1" applyBorder="1" applyFont="1">
      <alignment horizontal="right" vertical="bottom"/>
    </xf>
    <xf borderId="17" fillId="0" fontId="10" numFmtId="9" xfId="0" applyAlignment="1" applyBorder="1" applyFont="1" applyNumberFormat="1">
      <alignment horizontal="right" readingOrder="0" vertical="bottom"/>
    </xf>
    <xf borderId="18" fillId="2" fontId="10" numFmtId="0" xfId="0" applyAlignment="1" applyBorder="1" applyFont="1">
      <alignment readingOrder="0" shrinkToFit="0" vertical="bottom" wrapText="0"/>
    </xf>
    <xf borderId="19" fillId="2" fontId="10" numFmtId="0" xfId="0" applyAlignment="1" applyBorder="1" applyFont="1">
      <alignment readingOrder="0" shrinkToFit="0" vertical="bottom" wrapText="0"/>
    </xf>
    <xf borderId="20" fillId="2" fontId="10" numFmtId="0" xfId="0" applyAlignment="1" applyBorder="1" applyFont="1">
      <alignment readingOrder="0" shrinkToFit="0" vertical="bottom" wrapText="0"/>
    </xf>
    <xf borderId="21" fillId="0" fontId="9" numFmtId="9" xfId="0" applyAlignment="1" applyBorder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3" numFmtId="164" xfId="0" applyAlignment="1" applyFont="1" applyNumberFormat="1">
      <alignment readingOrder="0"/>
    </xf>
    <xf borderId="0" fillId="0" fontId="3" numFmtId="14" xfId="0" applyFont="1" applyNumberFormat="1"/>
    <xf borderId="4" fillId="0" fontId="1" numFmtId="0" xfId="0" applyAlignment="1" applyBorder="1" applyFont="1">
      <alignment horizontal="center" readingOrder="0" shrinkToFit="0" vertical="bottom" wrapText="0"/>
    </xf>
    <xf borderId="6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0" fillId="0" fontId="2" numFmtId="0" xfId="0" applyBorder="1" applyFont="1"/>
    <xf borderId="24" fillId="0" fontId="2" numFmtId="0" xfId="0" applyBorder="1" applyFont="1"/>
    <xf borderId="7" fillId="0" fontId="5" numFmtId="0" xfId="0" applyAlignment="1" applyBorder="1" applyFont="1">
      <alignment readingOrder="0" shrinkToFit="0" vertical="bottom" wrapText="0"/>
    </xf>
    <xf borderId="0" fillId="3" fontId="8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1"/>
    </xf>
    <xf borderId="0" fillId="5" fontId="7" numFmtId="0" xfId="0" applyAlignment="1" applyFont="1">
      <alignment horizontal="right" readingOrder="0" vertical="bottom"/>
    </xf>
    <xf borderId="7" fillId="0" fontId="1" numFmtId="0" xfId="0" applyAlignment="1" applyBorder="1" applyFont="1">
      <alignment readingOrder="0" shrinkToFit="0" vertical="bottom" wrapText="0"/>
    </xf>
    <xf borderId="17" fillId="5" fontId="7" numFmtId="0" xfId="0" applyAlignment="1" applyBorder="1" applyFont="1">
      <alignment horizontal="right" readingOrder="0" vertical="bottom"/>
    </xf>
    <xf borderId="8" fillId="0" fontId="1" numFmtId="0" xfId="0" applyAlignment="1" applyBorder="1" applyFont="1">
      <alignment horizontal="center" readingOrder="0" shrinkToFit="0" vertical="bottom" wrapText="0"/>
    </xf>
    <xf borderId="17" fillId="0" fontId="7" numFmtId="9" xfId="0" applyAlignment="1" applyBorder="1" applyFont="1" applyNumberFormat="1">
      <alignment horizontal="right" readingOrder="0" vertical="bottom"/>
    </xf>
    <xf borderId="0" fillId="0" fontId="3" numFmtId="9" xfId="0" applyFont="1" applyNumberFormat="1"/>
    <xf borderId="17" fillId="0" fontId="3" numFmtId="0" xfId="0" applyBorder="1" applyFont="1"/>
    <xf borderId="0" fillId="0" fontId="12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25" fillId="0" fontId="1" numFmtId="0" xfId="0" applyAlignment="1" applyBorder="1" applyFont="1">
      <alignment horizontal="center" readingOrder="0" shrinkToFit="0" vertical="bottom" wrapText="0"/>
    </xf>
    <xf borderId="26" fillId="0" fontId="2" numFmtId="0" xfId="0" applyBorder="1" applyFont="1"/>
    <xf borderId="27" fillId="0" fontId="2" numFmtId="0" xfId="0" applyBorder="1" applyFont="1"/>
    <xf borderId="28" fillId="0" fontId="1" numFmtId="0" xfId="0" applyAlignment="1" applyBorder="1" applyFont="1">
      <alignment horizontal="center" readingOrder="0" shrinkToFit="0" vertical="bottom" wrapText="0"/>
    </xf>
    <xf borderId="28" fillId="0" fontId="2" numFmtId="0" xfId="0" applyBorder="1" applyFont="1"/>
    <xf borderId="28" fillId="0" fontId="1" numFmtId="0" xfId="0" applyAlignment="1" applyBorder="1" applyFont="1">
      <alignment horizontal="center" readingOrder="0" shrinkToFit="0" vertical="bottom" wrapText="0"/>
    </xf>
    <xf borderId="29" fillId="0" fontId="2" numFmtId="0" xfId="0" applyBorder="1" applyFont="1"/>
    <xf borderId="0" fillId="0" fontId="3" numFmtId="0" xfId="0" applyAlignment="1" applyFont="1">
      <alignment readingOrder="0"/>
    </xf>
    <xf borderId="9" fillId="0" fontId="13" numFmtId="9" xfId="0" applyBorder="1" applyFont="1" applyNumberFormat="1"/>
    <xf borderId="21" fillId="0" fontId="13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3" width="8.63"/>
    <col customWidth="1" min="4" max="4" width="7.0"/>
    <col customWidth="1" min="5" max="5" width="11.38"/>
    <col customWidth="1" min="6" max="7" width="7.63"/>
    <col customWidth="1" min="8" max="8" width="7.88"/>
    <col customWidth="1" min="9" max="9" width="10.75"/>
    <col customWidth="1" min="10" max="10" width="8.5"/>
    <col customWidth="1" min="11" max="11" width="7.88"/>
    <col customWidth="1" min="12" max="12" width="6.38"/>
    <col customWidth="1" min="13" max="13" width="7.63"/>
    <col customWidth="1" min="14" max="14" width="7.88"/>
    <col customWidth="1" min="15" max="15" width="8.63"/>
    <col customWidth="1" min="16" max="16" width="7.88"/>
    <col customWidth="1" min="17" max="17" width="6.5"/>
    <col customWidth="1" min="18" max="19" width="7.63"/>
    <col customWidth="1" min="20" max="21" width="7.88"/>
    <col customWidth="1" min="22" max="22" width="4.75"/>
    <col customWidth="1" min="23" max="24" width="6.0"/>
    <col customWidth="1" min="25" max="25" width="10.0"/>
    <col customWidth="1" min="26" max="26" width="9.88"/>
    <col customWidth="1" min="27" max="27" width="7.75"/>
    <col customWidth="1" min="28" max="28" width="11.13"/>
    <col customWidth="1" min="29" max="29" width="7.63"/>
    <col customWidth="1" min="31" max="33" width="8.75"/>
    <col customWidth="1" min="34" max="34" width="10.5"/>
    <col customWidth="1" min="35" max="49" width="8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5"/>
      <c r="Z1" s="6"/>
      <c r="AA1" s="7"/>
      <c r="AB1" s="5"/>
      <c r="AC1" s="8" t="s">
        <v>1</v>
      </c>
      <c r="AD1" s="9" t="s">
        <v>2</v>
      </c>
    </row>
    <row r="2">
      <c r="A2" s="10"/>
      <c r="B2" s="11" t="s">
        <v>3</v>
      </c>
      <c r="F2" s="12"/>
      <c r="G2" s="12"/>
      <c r="H2" s="12" t="s">
        <v>4</v>
      </c>
      <c r="M2" s="12"/>
      <c r="N2" s="12" t="s">
        <v>5</v>
      </c>
      <c r="S2" s="13"/>
      <c r="T2" s="12" t="s">
        <v>6</v>
      </c>
      <c r="W2" s="14"/>
      <c r="X2" s="15"/>
      <c r="Y2" s="16"/>
      <c r="Z2" s="15"/>
      <c r="AB2" s="16"/>
      <c r="AD2" s="13"/>
    </row>
    <row r="3">
      <c r="A3" s="17"/>
      <c r="B3" s="18" t="s">
        <v>7</v>
      </c>
      <c r="C3" s="19" t="s">
        <v>8</v>
      </c>
      <c r="D3" s="18" t="s">
        <v>9</v>
      </c>
      <c r="E3" s="18" t="s">
        <v>10</v>
      </c>
      <c r="F3" s="18" t="s">
        <v>11</v>
      </c>
      <c r="G3" s="20" t="str">
        <f>Sheet2!B3+Sheet2!A3</f>
        <v>#REF!</v>
      </c>
      <c r="H3" s="18" t="s">
        <v>7</v>
      </c>
      <c r="I3" s="21" t="s">
        <v>8</v>
      </c>
      <c r="J3" s="18" t="s">
        <v>9</v>
      </c>
      <c r="K3" s="18" t="s">
        <v>10</v>
      </c>
      <c r="L3" s="18" t="s">
        <v>11</v>
      </c>
      <c r="M3" s="18"/>
      <c r="N3" s="18" t="s">
        <v>7</v>
      </c>
      <c r="O3" s="21" t="s">
        <v>8</v>
      </c>
      <c r="P3" s="18" t="s">
        <v>9</v>
      </c>
      <c r="Q3" s="18" t="s">
        <v>10</v>
      </c>
      <c r="R3" s="18" t="s">
        <v>11</v>
      </c>
      <c r="S3" s="18"/>
      <c r="T3" s="18" t="s">
        <v>7</v>
      </c>
      <c r="U3" s="18" t="s">
        <v>9</v>
      </c>
      <c r="V3" s="18" t="s">
        <v>10</v>
      </c>
      <c r="W3" s="22" t="s">
        <v>11</v>
      </c>
      <c r="X3" s="23" t="s">
        <v>12</v>
      </c>
      <c r="Y3" s="24" t="s">
        <v>13</v>
      </c>
      <c r="Z3" s="25" t="s">
        <v>14</v>
      </c>
      <c r="AA3" s="26" t="s">
        <v>15</v>
      </c>
      <c r="AB3" s="24" t="s">
        <v>16</v>
      </c>
      <c r="AD3" s="13"/>
    </row>
    <row r="4">
      <c r="A4" s="27" t="s">
        <v>17</v>
      </c>
      <c r="B4" s="28"/>
      <c r="C4" s="29"/>
      <c r="D4" s="28"/>
      <c r="E4" s="30">
        <f t="shared" ref="E4:E7" si="2">SUM(B4:D4)</f>
        <v>0</v>
      </c>
      <c r="F4" s="31">
        <v>24.0</v>
      </c>
      <c r="G4" s="32">
        <f t="shared" ref="G4:G12" si="3">E4/F4</f>
        <v>0</v>
      </c>
      <c r="I4" s="28"/>
      <c r="J4" s="28"/>
      <c r="K4" s="30">
        <f t="shared" ref="K4:K7" si="4">SUM(H4:J4)</f>
        <v>0</v>
      </c>
      <c r="L4" s="31">
        <v>12.0</v>
      </c>
      <c r="M4" s="32">
        <f t="shared" ref="M4:M12" si="5">K4/L4</f>
        <v>0</v>
      </c>
      <c r="N4" s="28"/>
      <c r="O4" s="28"/>
      <c r="P4" s="28"/>
      <c r="Q4" s="30">
        <f t="shared" ref="Q4:Q7" si="6">SUM(N4:P4)</f>
        <v>0</v>
      </c>
      <c r="R4" s="31">
        <v>69.0</v>
      </c>
      <c r="S4" s="32">
        <f t="shared" ref="S4:S12" si="7">Q4/R4</f>
        <v>0</v>
      </c>
      <c r="T4" s="20">
        <f t="shared" ref="T4:T7" si="8">N4+H4+B4+O4+I4</f>
        <v>0</v>
      </c>
      <c r="U4" s="20">
        <f t="shared" ref="U4:U7" si="9">P4+J4+D4</f>
        <v>0</v>
      </c>
      <c r="V4" s="30">
        <f t="shared" ref="V4:V7" si="10">sum(T4:U4)</f>
        <v>0</v>
      </c>
      <c r="W4" s="33">
        <f t="shared" ref="W4:W7" si="11">F4+L4+R4</f>
        <v>105</v>
      </c>
      <c r="X4" s="34">
        <f t="shared" ref="X4:X7" si="12">W4-V4</f>
        <v>105</v>
      </c>
      <c r="Y4" s="35">
        <f t="shared" ref="Y4:Y7" si="13">round(X4/$Y$16*7,0)</f>
        <v>8</v>
      </c>
      <c r="Z4" s="36">
        <f t="shared" ref="Z4:AA4" si="1">V4</f>
        <v>0</v>
      </c>
      <c r="AA4" s="20">
        <f t="shared" si="1"/>
        <v>105</v>
      </c>
      <c r="AB4" s="37">
        <f t="shared" ref="AB4:AB12" si="15">Z4/AA4</f>
        <v>0</v>
      </c>
      <c r="AC4" s="38"/>
      <c r="AD4" s="39"/>
    </row>
    <row r="5">
      <c r="A5" s="27" t="s">
        <v>18</v>
      </c>
      <c r="B5" s="28"/>
      <c r="C5" s="40"/>
      <c r="D5" s="28"/>
      <c r="E5" s="30">
        <f t="shared" si="2"/>
        <v>0</v>
      </c>
      <c r="F5" s="31">
        <v>19.0</v>
      </c>
      <c r="G5" s="32">
        <f t="shared" si="3"/>
        <v>0</v>
      </c>
      <c r="H5" s="28"/>
      <c r="I5" s="28"/>
      <c r="J5" s="28"/>
      <c r="K5" s="30">
        <f t="shared" si="4"/>
        <v>0</v>
      </c>
      <c r="L5" s="31">
        <v>11.0</v>
      </c>
      <c r="M5" s="32">
        <f t="shared" si="5"/>
        <v>0</v>
      </c>
      <c r="O5" s="28"/>
      <c r="P5" s="28"/>
      <c r="Q5" s="30">
        <f t="shared" si="6"/>
        <v>0</v>
      </c>
      <c r="R5" s="31">
        <v>47.0</v>
      </c>
      <c r="S5" s="32">
        <f t="shared" si="7"/>
        <v>0</v>
      </c>
      <c r="T5" s="20">
        <f t="shared" si="8"/>
        <v>0</v>
      </c>
      <c r="U5" s="20">
        <f t="shared" si="9"/>
        <v>0</v>
      </c>
      <c r="V5" s="30">
        <f t="shared" si="10"/>
        <v>0</v>
      </c>
      <c r="W5" s="33">
        <f t="shared" si="11"/>
        <v>77</v>
      </c>
      <c r="X5" s="34">
        <f t="shared" si="12"/>
        <v>77</v>
      </c>
      <c r="Y5" s="35">
        <f t="shared" si="13"/>
        <v>6</v>
      </c>
      <c r="Z5" s="36">
        <f t="shared" ref="Z5:AA5" si="14">V5</f>
        <v>0</v>
      </c>
      <c r="AA5" s="20">
        <f t="shared" si="14"/>
        <v>77</v>
      </c>
      <c r="AB5" s="37">
        <f t="shared" si="15"/>
        <v>0</v>
      </c>
      <c r="AC5" s="38"/>
      <c r="AD5" s="39"/>
    </row>
    <row r="6">
      <c r="A6" s="27" t="s">
        <v>19</v>
      </c>
      <c r="B6" s="28"/>
      <c r="C6" s="29"/>
      <c r="D6" s="41"/>
      <c r="E6" s="30">
        <f t="shared" si="2"/>
        <v>0</v>
      </c>
      <c r="F6" s="31">
        <v>19.0</v>
      </c>
      <c r="G6" s="32">
        <f t="shared" si="3"/>
        <v>0</v>
      </c>
      <c r="H6" s="28"/>
      <c r="I6" s="28"/>
      <c r="J6" s="28"/>
      <c r="K6" s="30">
        <f t="shared" si="4"/>
        <v>0</v>
      </c>
      <c r="L6" s="31">
        <v>11.0</v>
      </c>
      <c r="M6" s="32">
        <f t="shared" si="5"/>
        <v>0</v>
      </c>
      <c r="N6" s="28"/>
      <c r="O6" s="28"/>
      <c r="P6" s="28"/>
      <c r="Q6" s="30">
        <f t="shared" si="6"/>
        <v>0</v>
      </c>
      <c r="R6" s="31">
        <v>55.0</v>
      </c>
      <c r="S6" s="32">
        <f t="shared" si="7"/>
        <v>0</v>
      </c>
      <c r="T6" s="20">
        <f t="shared" si="8"/>
        <v>0</v>
      </c>
      <c r="U6" s="20">
        <f t="shared" si="9"/>
        <v>0</v>
      </c>
      <c r="V6" s="30">
        <f t="shared" si="10"/>
        <v>0</v>
      </c>
      <c r="W6" s="33">
        <f t="shared" si="11"/>
        <v>85</v>
      </c>
      <c r="X6" s="34">
        <f t="shared" si="12"/>
        <v>85</v>
      </c>
      <c r="Y6" s="35">
        <f t="shared" si="13"/>
        <v>7</v>
      </c>
      <c r="Z6" s="36">
        <f t="shared" ref="Z6:AA6" si="16">V6</f>
        <v>0</v>
      </c>
      <c r="AA6" s="20">
        <f t="shared" si="16"/>
        <v>85</v>
      </c>
      <c r="AB6" s="37">
        <f t="shared" si="15"/>
        <v>0</v>
      </c>
      <c r="AC6" s="38"/>
      <c r="AD6" s="39"/>
    </row>
    <row r="7">
      <c r="A7" s="27" t="s">
        <v>20</v>
      </c>
      <c r="B7" s="42"/>
      <c r="C7" s="40"/>
      <c r="D7" s="43"/>
      <c r="E7" s="30">
        <f t="shared" si="2"/>
        <v>0</v>
      </c>
      <c r="F7" s="31">
        <v>32.0</v>
      </c>
      <c r="G7" s="32">
        <f t="shared" si="3"/>
        <v>0</v>
      </c>
      <c r="H7" s="28"/>
      <c r="I7" s="28"/>
      <c r="J7" s="28"/>
      <c r="K7" s="30">
        <f t="shared" si="4"/>
        <v>0</v>
      </c>
      <c r="L7" s="31">
        <v>18.0</v>
      </c>
      <c r="M7" s="32">
        <f t="shared" si="5"/>
        <v>0</v>
      </c>
      <c r="N7" s="28"/>
      <c r="O7" s="28"/>
      <c r="P7" s="28"/>
      <c r="Q7" s="30">
        <f t="shared" si="6"/>
        <v>0</v>
      </c>
      <c r="R7" s="31">
        <v>90.0</v>
      </c>
      <c r="S7" s="32">
        <f t="shared" si="7"/>
        <v>0</v>
      </c>
      <c r="T7" s="20">
        <f t="shared" si="8"/>
        <v>0</v>
      </c>
      <c r="U7" s="20">
        <f t="shared" si="9"/>
        <v>0</v>
      </c>
      <c r="V7" s="30">
        <f t="shared" si="10"/>
        <v>0</v>
      </c>
      <c r="W7" s="33">
        <f t="shared" si="11"/>
        <v>140</v>
      </c>
      <c r="X7" s="34">
        <f t="shared" si="12"/>
        <v>140</v>
      </c>
      <c r="Y7" s="35">
        <f t="shared" si="13"/>
        <v>11</v>
      </c>
      <c r="Z7" s="36">
        <f t="shared" ref="Z7:AA7" si="17">V7</f>
        <v>0</v>
      </c>
      <c r="AA7" s="20">
        <f t="shared" si="17"/>
        <v>140</v>
      </c>
      <c r="AB7" s="37">
        <f t="shared" si="15"/>
        <v>0</v>
      </c>
      <c r="AC7" s="38"/>
      <c r="AD7" s="39"/>
    </row>
    <row r="8">
      <c r="A8" s="44" t="s">
        <v>21</v>
      </c>
      <c r="B8" s="45">
        <f t="shared" ref="B8:F8" si="18">sum(B4:B7)</f>
        <v>0</v>
      </c>
      <c r="C8" s="46">
        <f t="shared" si="18"/>
        <v>0</v>
      </c>
      <c r="D8" s="45">
        <f t="shared" si="18"/>
        <v>0</v>
      </c>
      <c r="E8" s="45">
        <f t="shared" si="18"/>
        <v>0</v>
      </c>
      <c r="F8" s="45">
        <f t="shared" si="18"/>
        <v>94</v>
      </c>
      <c r="G8" s="47">
        <f t="shared" si="3"/>
        <v>0</v>
      </c>
      <c r="H8" s="45">
        <f>sum(H3:H7)</f>
        <v>0</v>
      </c>
      <c r="I8" s="45">
        <f t="shared" ref="I8:L8" si="19">sum(I4:I7)</f>
        <v>0</v>
      </c>
      <c r="J8" s="45">
        <f t="shared" si="19"/>
        <v>0</v>
      </c>
      <c r="K8" s="45">
        <f t="shared" si="19"/>
        <v>0</v>
      </c>
      <c r="L8" s="45">
        <f t="shared" si="19"/>
        <v>52</v>
      </c>
      <c r="M8" s="47">
        <f t="shared" si="5"/>
        <v>0</v>
      </c>
      <c r="N8" s="45">
        <f t="shared" ref="N8:R8" si="20">sum(N4:N7)</f>
        <v>0</v>
      </c>
      <c r="O8" s="45">
        <f t="shared" si="20"/>
        <v>0</v>
      </c>
      <c r="P8" s="45">
        <f t="shared" si="20"/>
        <v>0</v>
      </c>
      <c r="Q8" s="45">
        <f t="shared" si="20"/>
        <v>0</v>
      </c>
      <c r="R8" s="45">
        <f t="shared" si="20"/>
        <v>261</v>
      </c>
      <c r="S8" s="47">
        <f t="shared" si="7"/>
        <v>0</v>
      </c>
      <c r="T8" s="45">
        <f t="shared" ref="T8:X8" si="21">sum(T4:T7)</f>
        <v>0</v>
      </c>
      <c r="U8" s="45">
        <f t="shared" si="21"/>
        <v>0</v>
      </c>
      <c r="V8" s="45">
        <f t="shared" si="21"/>
        <v>0</v>
      </c>
      <c r="W8" s="48">
        <f t="shared" si="21"/>
        <v>407</v>
      </c>
      <c r="X8" s="49">
        <f t="shared" si="21"/>
        <v>407</v>
      </c>
      <c r="Y8" s="50">
        <f>round(X8/Y16*7,0)</f>
        <v>32</v>
      </c>
      <c r="Z8" s="49">
        <f t="shared" ref="Z8:AA8" si="22">sum(Z4:Z7)</f>
        <v>0</v>
      </c>
      <c r="AA8" s="45">
        <f t="shared" si="22"/>
        <v>407</v>
      </c>
      <c r="AB8" s="37">
        <f t="shared" si="15"/>
        <v>0</v>
      </c>
      <c r="AD8" s="39"/>
    </row>
    <row r="9">
      <c r="A9" s="27" t="s">
        <v>22</v>
      </c>
      <c r="B9" s="20"/>
      <c r="C9" s="40"/>
      <c r="D9" s="20"/>
      <c r="E9" s="30">
        <f t="shared" ref="E9:E11" si="24">SUM(B9:D9)</f>
        <v>0</v>
      </c>
      <c r="F9" s="31">
        <v>22.0</v>
      </c>
      <c r="G9" s="32">
        <f t="shared" si="3"/>
        <v>0</v>
      </c>
      <c r="H9" s="28"/>
      <c r="I9" s="28"/>
      <c r="J9" s="28"/>
      <c r="K9" s="30">
        <f t="shared" ref="K9:K11" si="25">SUM(H9:J9)</f>
        <v>0</v>
      </c>
      <c r="L9" s="31">
        <v>13.0</v>
      </c>
      <c r="M9" s="32">
        <f t="shared" si="5"/>
        <v>0</v>
      </c>
      <c r="N9" s="28"/>
      <c r="O9" s="28"/>
      <c r="P9" s="28"/>
      <c r="Q9" s="30">
        <f t="shared" ref="Q9:Q11" si="26">SUM(N9:P9)</f>
        <v>0</v>
      </c>
      <c r="R9" s="31">
        <v>70.0</v>
      </c>
      <c r="S9" s="32">
        <f t="shared" si="7"/>
        <v>0</v>
      </c>
      <c r="T9" s="20">
        <f t="shared" ref="T9:T11" si="27">N9+H9+B9+O9+I9</f>
        <v>0</v>
      </c>
      <c r="U9" s="20">
        <f t="shared" ref="U9:U11" si="28">P9+J9+D9</f>
        <v>0</v>
      </c>
      <c r="V9" s="30">
        <f t="shared" ref="V9:V11" si="29">sum(T9:U9)</f>
        <v>0</v>
      </c>
      <c r="W9" s="33">
        <f t="shared" ref="W9:W11" si="30">F9+L9+R9</f>
        <v>105</v>
      </c>
      <c r="X9" s="34">
        <f t="shared" ref="X9:X11" si="31">W9-V9</f>
        <v>105</v>
      </c>
      <c r="Y9" s="35">
        <f t="shared" ref="Y9:Y11" si="32">round(X9/$Y$16*7,0)</f>
        <v>8</v>
      </c>
      <c r="Z9" s="27">
        <f t="shared" ref="Z9:AA9" si="23">V9</f>
        <v>0</v>
      </c>
      <c r="AA9" s="20">
        <f t="shared" si="23"/>
        <v>105</v>
      </c>
      <c r="AB9" s="37">
        <f t="shared" si="15"/>
        <v>0</v>
      </c>
      <c r="AC9" s="38"/>
      <c r="AD9" s="39"/>
    </row>
    <row r="10">
      <c r="A10" s="27" t="s">
        <v>23</v>
      </c>
      <c r="B10" s="20"/>
      <c r="C10" s="40"/>
      <c r="D10" s="20"/>
      <c r="E10" s="30">
        <f t="shared" si="24"/>
        <v>0</v>
      </c>
      <c r="F10" s="31">
        <v>23.0</v>
      </c>
      <c r="G10" s="32">
        <f t="shared" si="3"/>
        <v>0</v>
      </c>
      <c r="H10" s="28"/>
      <c r="I10" s="28"/>
      <c r="J10" s="28"/>
      <c r="K10" s="30">
        <f t="shared" si="25"/>
        <v>0</v>
      </c>
      <c r="L10" s="31">
        <v>13.0</v>
      </c>
      <c r="M10" s="32">
        <f t="shared" si="5"/>
        <v>0</v>
      </c>
      <c r="N10" s="28"/>
      <c r="O10" s="28"/>
      <c r="P10" s="28"/>
      <c r="Q10" s="30">
        <f t="shared" si="26"/>
        <v>0</v>
      </c>
      <c r="R10" s="31">
        <v>72.0</v>
      </c>
      <c r="S10" s="32">
        <f t="shared" si="7"/>
        <v>0</v>
      </c>
      <c r="T10" s="20">
        <f t="shared" si="27"/>
        <v>0</v>
      </c>
      <c r="U10" s="20">
        <f t="shared" si="28"/>
        <v>0</v>
      </c>
      <c r="V10" s="30">
        <f t="shared" si="29"/>
        <v>0</v>
      </c>
      <c r="W10" s="33">
        <f t="shared" si="30"/>
        <v>108</v>
      </c>
      <c r="X10" s="34">
        <f t="shared" si="31"/>
        <v>108</v>
      </c>
      <c r="Y10" s="35">
        <f t="shared" si="32"/>
        <v>9</v>
      </c>
      <c r="Z10" s="27">
        <f t="shared" ref="Z10:AA10" si="33">V10</f>
        <v>0</v>
      </c>
      <c r="AA10" s="20">
        <f t="shared" si="33"/>
        <v>108</v>
      </c>
      <c r="AB10" s="37">
        <f t="shared" si="15"/>
        <v>0</v>
      </c>
      <c r="AC10" s="38"/>
      <c r="AD10" s="39"/>
    </row>
    <row r="11">
      <c r="A11" s="27" t="s">
        <v>24</v>
      </c>
      <c r="B11" s="20"/>
      <c r="C11" s="40"/>
      <c r="D11" s="20"/>
      <c r="E11" s="30">
        <f t="shared" si="24"/>
        <v>0</v>
      </c>
      <c r="F11" s="31">
        <v>8.0</v>
      </c>
      <c r="G11" s="32">
        <f t="shared" si="3"/>
        <v>0</v>
      </c>
      <c r="H11" s="28"/>
      <c r="I11" s="28"/>
      <c r="J11" s="28"/>
      <c r="K11" s="30">
        <f t="shared" si="25"/>
        <v>0</v>
      </c>
      <c r="L11" s="31">
        <v>3.0</v>
      </c>
      <c r="M11" s="32">
        <f t="shared" si="5"/>
        <v>0</v>
      </c>
      <c r="N11" s="28"/>
      <c r="O11" s="28"/>
      <c r="P11" s="28"/>
      <c r="Q11" s="30">
        <f t="shared" si="26"/>
        <v>0</v>
      </c>
      <c r="R11" s="31">
        <v>23.0</v>
      </c>
      <c r="S11" s="32">
        <f t="shared" si="7"/>
        <v>0</v>
      </c>
      <c r="T11" s="20">
        <f t="shared" si="27"/>
        <v>0</v>
      </c>
      <c r="U11" s="20">
        <f t="shared" si="28"/>
        <v>0</v>
      </c>
      <c r="V11" s="30">
        <f t="shared" si="29"/>
        <v>0</v>
      </c>
      <c r="W11" s="33">
        <f t="shared" si="30"/>
        <v>34</v>
      </c>
      <c r="X11" s="34">
        <f t="shared" si="31"/>
        <v>34</v>
      </c>
      <c r="Y11" s="35">
        <f t="shared" si="32"/>
        <v>3</v>
      </c>
      <c r="Z11" s="27">
        <f t="shared" ref="Z11:AA11" si="34">V11</f>
        <v>0</v>
      </c>
      <c r="AA11" s="20">
        <f t="shared" si="34"/>
        <v>34</v>
      </c>
      <c r="AB11" s="37">
        <f t="shared" si="15"/>
        <v>0</v>
      </c>
      <c r="AC11" s="38"/>
      <c r="AD11" s="39"/>
    </row>
    <row r="12">
      <c r="A12" s="51" t="s">
        <v>25</v>
      </c>
      <c r="B12" s="52">
        <f t="shared" ref="B12:F12" si="35">sum(B9:B11)</f>
        <v>0</v>
      </c>
      <c r="C12" s="53">
        <f t="shared" si="35"/>
        <v>0</v>
      </c>
      <c r="D12" s="52">
        <f t="shared" si="35"/>
        <v>0</v>
      </c>
      <c r="E12" s="52">
        <f t="shared" si="35"/>
        <v>0</v>
      </c>
      <c r="F12" s="52">
        <f t="shared" si="35"/>
        <v>53</v>
      </c>
      <c r="G12" s="54">
        <f t="shared" si="3"/>
        <v>0</v>
      </c>
      <c r="H12" s="52">
        <f t="shared" ref="H12:L12" si="36">sum(H9:H11)</f>
        <v>0</v>
      </c>
      <c r="I12" s="52">
        <f t="shared" si="36"/>
        <v>0</v>
      </c>
      <c r="J12" s="52">
        <f t="shared" si="36"/>
        <v>0</v>
      </c>
      <c r="K12" s="52">
        <f t="shared" si="36"/>
        <v>0</v>
      </c>
      <c r="L12" s="52">
        <f t="shared" si="36"/>
        <v>29</v>
      </c>
      <c r="M12" s="54">
        <f t="shared" si="5"/>
        <v>0</v>
      </c>
      <c r="N12" s="52">
        <f t="shared" ref="N12:R12" si="37">sum(N9:N11)</f>
        <v>0</v>
      </c>
      <c r="O12" s="52">
        <f t="shared" si="37"/>
        <v>0</v>
      </c>
      <c r="P12" s="52">
        <f t="shared" si="37"/>
        <v>0</v>
      </c>
      <c r="Q12" s="52">
        <f t="shared" si="37"/>
        <v>0</v>
      </c>
      <c r="R12" s="52">
        <f t="shared" si="37"/>
        <v>165</v>
      </c>
      <c r="S12" s="54">
        <f t="shared" si="7"/>
        <v>0</v>
      </c>
      <c r="T12" s="52">
        <f t="shared" ref="T12:X12" si="38">sum(T9:T11)</f>
        <v>0</v>
      </c>
      <c r="U12" s="52">
        <f t="shared" si="38"/>
        <v>0</v>
      </c>
      <c r="V12" s="52">
        <f t="shared" si="38"/>
        <v>0</v>
      </c>
      <c r="W12" s="55">
        <f t="shared" si="38"/>
        <v>247</v>
      </c>
      <c r="X12" s="56">
        <f t="shared" si="38"/>
        <v>247</v>
      </c>
      <c r="Y12" s="57">
        <f>round(X12/Y16*7,0)</f>
        <v>20</v>
      </c>
      <c r="Z12" s="56">
        <f t="shared" ref="Z12:AA12" si="39">sum(Z9:Z11)</f>
        <v>0</v>
      </c>
      <c r="AA12" s="52">
        <f t="shared" si="39"/>
        <v>247</v>
      </c>
      <c r="AB12" s="58">
        <f t="shared" si="15"/>
        <v>0</v>
      </c>
      <c r="AC12" s="38"/>
      <c r="AD12" s="39"/>
    </row>
    <row r="13">
      <c r="AD13" s="39"/>
    </row>
    <row r="14">
      <c r="Y14" s="59">
        <v>46295.0</v>
      </c>
      <c r="Z14" s="60"/>
      <c r="AA14" s="36">
        <f>Z12-AA12</f>
        <v>-247</v>
      </c>
      <c r="AC14" s="61"/>
      <c r="AD14" s="39"/>
    </row>
    <row r="15">
      <c r="Y15" s="62">
        <f>today()</f>
        <v>46207</v>
      </c>
      <c r="AC15" s="61"/>
      <c r="AD15" s="39"/>
    </row>
    <row r="16">
      <c r="Y16" s="36">
        <f>Y14-Y15</f>
        <v>88</v>
      </c>
      <c r="AC16" s="61"/>
      <c r="AD16" s="39"/>
    </row>
    <row r="17">
      <c r="A17" s="63" t="s">
        <v>26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  <c r="S17" s="8" t="s">
        <v>1</v>
      </c>
      <c r="T17" s="9" t="s">
        <v>2</v>
      </c>
    </row>
    <row r="18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8"/>
    </row>
    <row r="19">
      <c r="A19" s="17"/>
      <c r="B19" s="18" t="s">
        <v>27</v>
      </c>
      <c r="C19" s="18" t="s">
        <v>28</v>
      </c>
      <c r="D19" s="18" t="s">
        <v>10</v>
      </c>
      <c r="E19" s="19" t="s">
        <v>29</v>
      </c>
      <c r="F19" s="18" t="s">
        <v>27</v>
      </c>
      <c r="G19" s="18" t="s">
        <v>28</v>
      </c>
      <c r="H19" s="18" t="s">
        <v>10</v>
      </c>
      <c r="I19" s="18" t="s">
        <v>29</v>
      </c>
      <c r="J19" s="18" t="s">
        <v>27</v>
      </c>
      <c r="K19" s="18" t="s">
        <v>28</v>
      </c>
      <c r="L19" s="18" t="s">
        <v>10</v>
      </c>
      <c r="M19" s="18" t="s">
        <v>29</v>
      </c>
      <c r="N19" s="18"/>
      <c r="O19" s="18" t="s">
        <v>27</v>
      </c>
      <c r="P19" s="18" t="s">
        <v>28</v>
      </c>
      <c r="Q19" s="18" t="s">
        <v>10</v>
      </c>
      <c r="R19" s="22" t="s">
        <v>29</v>
      </c>
    </row>
    <row r="20">
      <c r="A20" s="69" t="s">
        <v>30</v>
      </c>
      <c r="B20" s="28"/>
      <c r="C20" s="28"/>
      <c r="D20" s="30">
        <f>SUM(B20:C20)</f>
        <v>0</v>
      </c>
      <c r="E20" s="70"/>
      <c r="F20" s="71"/>
      <c r="G20" s="28"/>
      <c r="H20" s="30">
        <f>SUM(F20:G20)</f>
        <v>0</v>
      </c>
      <c r="I20" s="31"/>
      <c r="J20" s="71"/>
      <c r="K20" s="71"/>
      <c r="L20" s="30">
        <f>K20+J20</f>
        <v>0</v>
      </c>
      <c r="M20" s="31"/>
      <c r="N20" s="72"/>
      <c r="O20" s="20">
        <f t="shared" ref="O20:P20" si="40">J20+F20+B20</f>
        <v>0</v>
      </c>
      <c r="P20" s="20">
        <f t="shared" si="40"/>
        <v>0</v>
      </c>
      <c r="Q20" s="30">
        <f>P20+O20</f>
        <v>0</v>
      </c>
      <c r="R20" s="33">
        <f>M20+I20+E20</f>
        <v>0</v>
      </c>
      <c r="T20" s="61"/>
    </row>
    <row r="21">
      <c r="A21" s="73" t="s">
        <v>21</v>
      </c>
      <c r="B21" s="45">
        <f t="shared" ref="B21:M21" si="41">sum(B20)</f>
        <v>0</v>
      </c>
      <c r="C21" s="45">
        <f t="shared" si="41"/>
        <v>0</v>
      </c>
      <c r="D21" s="45">
        <f t="shared" si="41"/>
        <v>0</v>
      </c>
      <c r="E21" s="46">
        <f t="shared" si="41"/>
        <v>0</v>
      </c>
      <c r="F21" s="45">
        <f t="shared" si="41"/>
        <v>0</v>
      </c>
      <c r="G21" s="45">
        <f t="shared" si="41"/>
        <v>0</v>
      </c>
      <c r="H21" s="45">
        <f t="shared" si="41"/>
        <v>0</v>
      </c>
      <c r="I21" s="45">
        <f t="shared" si="41"/>
        <v>0</v>
      </c>
      <c r="J21" s="45">
        <f t="shared" si="41"/>
        <v>0</v>
      </c>
      <c r="K21" s="45">
        <f t="shared" si="41"/>
        <v>0</v>
      </c>
      <c r="L21" s="45">
        <f t="shared" si="41"/>
        <v>0</v>
      </c>
      <c r="M21" s="45">
        <f t="shared" si="41"/>
        <v>0</v>
      </c>
      <c r="N21" s="72"/>
      <c r="O21" s="45">
        <f t="shared" ref="O21:R21" si="42">sum(O20)</f>
        <v>0</v>
      </c>
      <c r="P21" s="45">
        <f t="shared" si="42"/>
        <v>0</v>
      </c>
      <c r="Q21" s="45">
        <f t="shared" si="42"/>
        <v>0</v>
      </c>
      <c r="R21" s="48">
        <f t="shared" si="42"/>
        <v>0</v>
      </c>
    </row>
    <row r="22">
      <c r="A22" s="69" t="s">
        <v>22</v>
      </c>
      <c r="B22" s="28"/>
      <c r="C22" s="20"/>
      <c r="D22" s="30">
        <f>SUM(B22:C22)</f>
        <v>0</v>
      </c>
      <c r="E22" s="70"/>
      <c r="F22" s="71"/>
      <c r="G22" s="20"/>
      <c r="H22" s="30">
        <f>SUM(F22:G22)</f>
        <v>0</v>
      </c>
      <c r="I22" s="31"/>
      <c r="J22" s="71"/>
      <c r="K22" s="71"/>
      <c r="L22" s="30">
        <f>K22+J22</f>
        <v>0</v>
      </c>
      <c r="M22" s="31"/>
      <c r="N22" s="72"/>
      <c r="O22" s="20">
        <f t="shared" ref="O22:P22" si="43">J22+F22+B22</f>
        <v>0</v>
      </c>
      <c r="P22" s="20">
        <f t="shared" si="43"/>
        <v>0</v>
      </c>
      <c r="Q22" s="30">
        <f>P22+O22</f>
        <v>0</v>
      </c>
      <c r="R22" s="33">
        <f>M22+I22+E22</f>
        <v>0</v>
      </c>
      <c r="T22" s="61"/>
    </row>
    <row r="23">
      <c r="A23" s="51" t="s">
        <v>25</v>
      </c>
      <c r="B23" s="52">
        <f t="shared" ref="B23:M23" si="44">sum(B22)</f>
        <v>0</v>
      </c>
      <c r="C23" s="52">
        <f t="shared" si="44"/>
        <v>0</v>
      </c>
      <c r="D23" s="52">
        <f t="shared" si="44"/>
        <v>0</v>
      </c>
      <c r="E23" s="53">
        <f t="shared" si="44"/>
        <v>0</v>
      </c>
      <c r="F23" s="52">
        <f t="shared" si="44"/>
        <v>0</v>
      </c>
      <c r="G23" s="52">
        <f t="shared" si="44"/>
        <v>0</v>
      </c>
      <c r="H23" s="52">
        <f t="shared" si="44"/>
        <v>0</v>
      </c>
      <c r="I23" s="52">
        <f t="shared" si="44"/>
        <v>0</v>
      </c>
      <c r="J23" s="52">
        <f t="shared" si="44"/>
        <v>0</v>
      </c>
      <c r="K23" s="52">
        <f t="shared" si="44"/>
        <v>0</v>
      </c>
      <c r="L23" s="52">
        <f t="shared" si="44"/>
        <v>0</v>
      </c>
      <c r="M23" s="52">
        <f t="shared" si="44"/>
        <v>0</v>
      </c>
      <c r="N23" s="74"/>
      <c r="O23" s="52">
        <f t="shared" ref="O23:R23" si="45">sum(O22)</f>
        <v>0</v>
      </c>
      <c r="P23" s="52">
        <f t="shared" si="45"/>
        <v>0</v>
      </c>
      <c r="Q23" s="52">
        <f t="shared" si="45"/>
        <v>0</v>
      </c>
      <c r="R23" s="55">
        <f t="shared" si="45"/>
        <v>0</v>
      </c>
    </row>
    <row r="25">
      <c r="N25" s="8"/>
    </row>
    <row r="27">
      <c r="A27" s="1" t="s">
        <v>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8" t="s">
        <v>1</v>
      </c>
      <c r="N27" s="9" t="s">
        <v>2</v>
      </c>
    </row>
    <row r="28">
      <c r="A28" s="10"/>
      <c r="B28" s="11" t="s">
        <v>3</v>
      </c>
      <c r="D28" s="11"/>
      <c r="E28" s="12" t="s">
        <v>4</v>
      </c>
      <c r="H28" s="12" t="s">
        <v>5</v>
      </c>
      <c r="K28" s="12" t="s">
        <v>6</v>
      </c>
      <c r="L28" s="75"/>
    </row>
    <row r="29">
      <c r="A29" s="17"/>
      <c r="B29" s="18" t="s">
        <v>7</v>
      </c>
      <c r="C29" s="18" t="s">
        <v>11</v>
      </c>
      <c r="D29" s="18"/>
      <c r="E29" s="18" t="s">
        <v>7</v>
      </c>
      <c r="F29" s="18" t="s">
        <v>11</v>
      </c>
      <c r="G29" s="18"/>
      <c r="H29" s="18" t="s">
        <v>7</v>
      </c>
      <c r="I29" s="18" t="s">
        <v>11</v>
      </c>
      <c r="J29" s="18"/>
      <c r="K29" s="18" t="s">
        <v>7</v>
      </c>
      <c r="L29" s="22" t="s">
        <v>11</v>
      </c>
    </row>
    <row r="30">
      <c r="A30" s="27" t="s">
        <v>17</v>
      </c>
      <c r="B30" s="28"/>
      <c r="C30" s="31">
        <v>63.0</v>
      </c>
      <c r="D30" s="32">
        <f t="shared" ref="D30:D38" si="47">B30/C30</f>
        <v>0</v>
      </c>
      <c r="E30" s="28"/>
      <c r="F30" s="31">
        <v>62.0</v>
      </c>
      <c r="G30" s="32">
        <f t="shared" ref="G30:G38" si="48">E30/F30</f>
        <v>0</v>
      </c>
      <c r="H30" s="28"/>
      <c r="I30" s="31">
        <v>62.0</v>
      </c>
      <c r="J30" s="32">
        <f t="shared" ref="J30:J38" si="49">H30/I30</f>
        <v>0</v>
      </c>
      <c r="K30" s="20">
        <f t="shared" ref="K30:L30" si="46">H30+E30+B30</f>
        <v>0</v>
      </c>
      <c r="L30" s="33">
        <f t="shared" si="46"/>
        <v>187</v>
      </c>
    </row>
    <row r="31">
      <c r="A31" s="27" t="s">
        <v>18</v>
      </c>
      <c r="B31" s="28"/>
      <c r="C31" s="31">
        <v>55.0</v>
      </c>
      <c r="D31" s="32">
        <f t="shared" si="47"/>
        <v>0</v>
      </c>
      <c r="E31" s="28"/>
      <c r="F31" s="31">
        <v>54.0</v>
      </c>
      <c r="G31" s="32">
        <f t="shared" si="48"/>
        <v>0</v>
      </c>
      <c r="H31" s="28"/>
      <c r="I31" s="31">
        <v>54.0</v>
      </c>
      <c r="J31" s="32">
        <f t="shared" si="49"/>
        <v>0</v>
      </c>
      <c r="K31" s="20">
        <f t="shared" ref="K31:L31" si="50">H31+E31+B31</f>
        <v>0</v>
      </c>
      <c r="L31" s="33">
        <f t="shared" si="50"/>
        <v>163</v>
      </c>
    </row>
    <row r="32">
      <c r="A32" s="27" t="s">
        <v>19</v>
      </c>
      <c r="B32" s="28"/>
      <c r="C32" s="31">
        <v>51.0</v>
      </c>
      <c r="D32" s="32">
        <f t="shared" si="47"/>
        <v>0</v>
      </c>
      <c r="E32" s="28"/>
      <c r="F32" s="31">
        <v>50.0</v>
      </c>
      <c r="G32" s="32">
        <f t="shared" si="48"/>
        <v>0</v>
      </c>
      <c r="H32" s="28"/>
      <c r="I32" s="31">
        <v>50.0</v>
      </c>
      <c r="J32" s="32">
        <f t="shared" si="49"/>
        <v>0</v>
      </c>
      <c r="K32" s="20">
        <f t="shared" ref="K32:L32" si="51">H32+E32+B32</f>
        <v>0</v>
      </c>
      <c r="L32" s="33">
        <f t="shared" si="51"/>
        <v>151</v>
      </c>
    </row>
    <row r="33">
      <c r="A33" s="27" t="s">
        <v>20</v>
      </c>
      <c r="B33" s="42"/>
      <c r="C33" s="31">
        <v>60.0</v>
      </c>
      <c r="D33" s="32">
        <f t="shared" si="47"/>
        <v>0</v>
      </c>
      <c r="E33" s="28"/>
      <c r="F33" s="31">
        <v>59.0</v>
      </c>
      <c r="G33" s="32">
        <f t="shared" si="48"/>
        <v>0</v>
      </c>
      <c r="H33" s="28"/>
      <c r="I33" s="31">
        <v>59.0</v>
      </c>
      <c r="J33" s="32">
        <f t="shared" si="49"/>
        <v>0</v>
      </c>
      <c r="K33" s="20">
        <f t="shared" ref="K33:L33" si="52">H33+E33+B33</f>
        <v>0</v>
      </c>
      <c r="L33" s="33">
        <f t="shared" si="52"/>
        <v>178</v>
      </c>
    </row>
    <row r="34">
      <c r="A34" s="44" t="s">
        <v>21</v>
      </c>
      <c r="B34" s="45">
        <f t="shared" ref="B34:C34" si="53">sum(B30:B33)</f>
        <v>0</v>
      </c>
      <c r="C34" s="45">
        <f t="shared" si="53"/>
        <v>229</v>
      </c>
      <c r="D34" s="32">
        <f t="shared" si="47"/>
        <v>0</v>
      </c>
      <c r="E34" s="45">
        <f t="shared" ref="E34:F34" si="54">sum(E30:E33)</f>
        <v>0</v>
      </c>
      <c r="F34" s="45">
        <f t="shared" si="54"/>
        <v>225</v>
      </c>
      <c r="G34" s="32">
        <f t="shared" si="48"/>
        <v>0</v>
      </c>
      <c r="H34" s="45">
        <f t="shared" ref="H34:I34" si="55">sum(H30:H33)</f>
        <v>0</v>
      </c>
      <c r="I34" s="45">
        <f t="shared" si="55"/>
        <v>225</v>
      </c>
      <c r="J34" s="32">
        <f t="shared" si="49"/>
        <v>0</v>
      </c>
      <c r="K34" s="45">
        <f t="shared" ref="K34:L34" si="56">sum(K30:K33)</f>
        <v>0</v>
      </c>
      <c r="L34" s="48">
        <f t="shared" si="56"/>
        <v>679</v>
      </c>
    </row>
    <row r="35">
      <c r="A35" s="27" t="s">
        <v>22</v>
      </c>
      <c r="B35" s="20"/>
      <c r="C35" s="31">
        <v>36.0</v>
      </c>
      <c r="D35" s="32">
        <f t="shared" si="47"/>
        <v>0</v>
      </c>
      <c r="E35" s="28"/>
      <c r="F35" s="31">
        <v>36.0</v>
      </c>
      <c r="G35" s="32">
        <f t="shared" si="48"/>
        <v>0</v>
      </c>
      <c r="H35" s="28"/>
      <c r="I35" s="31">
        <v>36.0</v>
      </c>
      <c r="J35" s="32">
        <f t="shared" si="49"/>
        <v>0</v>
      </c>
      <c r="K35" s="20">
        <f t="shared" ref="K35:L35" si="57">H35+E35+B35</f>
        <v>0</v>
      </c>
      <c r="L35" s="33">
        <f t="shared" si="57"/>
        <v>108</v>
      </c>
    </row>
    <row r="36">
      <c r="A36" s="27" t="s">
        <v>23</v>
      </c>
      <c r="B36" s="20"/>
      <c r="C36" s="31">
        <v>47.0</v>
      </c>
      <c r="D36" s="32">
        <f t="shared" si="47"/>
        <v>0</v>
      </c>
      <c r="E36" s="28"/>
      <c r="F36" s="31">
        <v>46.0</v>
      </c>
      <c r="G36" s="32">
        <f t="shared" si="48"/>
        <v>0</v>
      </c>
      <c r="H36" s="28"/>
      <c r="I36" s="31">
        <v>46.0</v>
      </c>
      <c r="J36" s="32">
        <f t="shared" si="49"/>
        <v>0</v>
      </c>
      <c r="K36" s="20">
        <f t="shared" ref="K36:L36" si="58">H36+E36+B36</f>
        <v>0</v>
      </c>
      <c r="L36" s="33">
        <f t="shared" si="58"/>
        <v>139</v>
      </c>
    </row>
    <row r="37">
      <c r="A37" s="27" t="s">
        <v>24</v>
      </c>
      <c r="B37" s="20"/>
      <c r="C37" s="31">
        <v>22.0</v>
      </c>
      <c r="D37" s="32">
        <f t="shared" si="47"/>
        <v>0</v>
      </c>
      <c r="E37" s="28"/>
      <c r="F37" s="31">
        <v>21.0</v>
      </c>
      <c r="G37" s="32">
        <f t="shared" si="48"/>
        <v>0</v>
      </c>
      <c r="H37" s="28"/>
      <c r="I37" s="31">
        <v>21.0</v>
      </c>
      <c r="J37" s="32">
        <f t="shared" si="49"/>
        <v>0</v>
      </c>
      <c r="K37" s="20">
        <f t="shared" ref="K37:L37" si="59">H37+E37+B37</f>
        <v>0</v>
      </c>
      <c r="L37" s="33">
        <f t="shared" si="59"/>
        <v>64</v>
      </c>
    </row>
    <row r="38">
      <c r="A38" s="51" t="s">
        <v>25</v>
      </c>
      <c r="B38" s="52">
        <f t="shared" ref="B38:C38" si="60">sum(B35:B37)</f>
        <v>0</v>
      </c>
      <c r="C38" s="52">
        <f t="shared" si="60"/>
        <v>105</v>
      </c>
      <c r="D38" s="76">
        <f t="shared" si="47"/>
        <v>0</v>
      </c>
      <c r="E38" s="52">
        <f t="shared" ref="E38:F38" si="61">sum(E35:E37)</f>
        <v>0</v>
      </c>
      <c r="F38" s="52">
        <f t="shared" si="61"/>
        <v>103</v>
      </c>
      <c r="G38" s="76">
        <f t="shared" si="48"/>
        <v>0</v>
      </c>
      <c r="H38" s="52">
        <f t="shared" ref="H38:I38" si="62">sum(H35:H37)</f>
        <v>0</v>
      </c>
      <c r="I38" s="52">
        <f t="shared" si="62"/>
        <v>103</v>
      </c>
      <c r="J38" s="76">
        <f t="shared" si="49"/>
        <v>0</v>
      </c>
      <c r="K38" s="52">
        <f t="shared" ref="K38:L38" si="63">sum(K35:K37)</f>
        <v>0</v>
      </c>
      <c r="L38" s="55">
        <f t="shared" si="63"/>
        <v>311</v>
      </c>
    </row>
    <row r="40">
      <c r="N40" s="77"/>
    </row>
    <row r="41">
      <c r="A41" s="1" t="s">
        <v>32</v>
      </c>
      <c r="B41" s="2"/>
      <c r="C41" s="2"/>
      <c r="D41" s="2"/>
      <c r="E41" s="2"/>
      <c r="F41" s="3"/>
      <c r="G41" s="8" t="s">
        <v>1</v>
      </c>
      <c r="H41" s="9" t="s">
        <v>2</v>
      </c>
    </row>
    <row r="42">
      <c r="A42" s="10"/>
      <c r="B42" s="11" t="s">
        <v>33</v>
      </c>
      <c r="D42" s="11"/>
      <c r="E42" s="12" t="s">
        <v>34</v>
      </c>
      <c r="F42" s="14"/>
    </row>
    <row r="43">
      <c r="A43" s="17"/>
      <c r="B43" s="18" t="s">
        <v>35</v>
      </c>
      <c r="C43" s="18" t="s">
        <v>11</v>
      </c>
      <c r="D43" s="18"/>
      <c r="E43" s="18"/>
      <c r="F43" s="22"/>
    </row>
    <row r="44">
      <c r="A44" s="27" t="s">
        <v>17</v>
      </c>
      <c r="B44" s="28">
        <v>0.0</v>
      </c>
      <c r="C44" s="31">
        <v>7.0</v>
      </c>
      <c r="D44" s="32">
        <f t="shared" ref="D44:D52" si="64">B44/C44</f>
        <v>0</v>
      </c>
      <c r="F44" s="33"/>
    </row>
    <row r="45">
      <c r="A45" s="27" t="s">
        <v>18</v>
      </c>
      <c r="B45" s="28">
        <v>0.0</v>
      </c>
      <c r="C45" s="31">
        <v>5.0</v>
      </c>
      <c r="D45" s="32">
        <f t="shared" si="64"/>
        <v>0</v>
      </c>
      <c r="F45" s="33"/>
    </row>
    <row r="46">
      <c r="A46" s="27" t="s">
        <v>19</v>
      </c>
      <c r="B46" s="28">
        <v>0.0</v>
      </c>
      <c r="C46" s="31">
        <v>6.0</v>
      </c>
      <c r="D46" s="32">
        <f t="shared" si="64"/>
        <v>0</v>
      </c>
      <c r="F46" s="33"/>
    </row>
    <row r="47">
      <c r="A47" s="27" t="s">
        <v>20</v>
      </c>
      <c r="B47" s="42">
        <v>0.0</v>
      </c>
      <c r="C47" s="31">
        <v>8.0</v>
      </c>
      <c r="D47" s="32">
        <f t="shared" si="64"/>
        <v>0</v>
      </c>
      <c r="F47" s="33"/>
    </row>
    <row r="48">
      <c r="A48" s="44" t="s">
        <v>21</v>
      </c>
      <c r="B48" s="45">
        <f t="shared" ref="B48:C48" si="65">sum(B44:B47)</f>
        <v>0</v>
      </c>
      <c r="C48" s="45">
        <f t="shared" si="65"/>
        <v>26</v>
      </c>
      <c r="D48" s="32">
        <f t="shared" si="64"/>
        <v>0</v>
      </c>
      <c r="F48" s="48">
        <f>SUM(F44:F47)</f>
        <v>0</v>
      </c>
    </row>
    <row r="49">
      <c r="A49" s="27" t="s">
        <v>22</v>
      </c>
      <c r="B49" s="20">
        <v>1.0</v>
      </c>
      <c r="C49" s="31">
        <v>6.0</v>
      </c>
      <c r="D49" s="32">
        <f t="shared" si="64"/>
        <v>0.1666666667</v>
      </c>
      <c r="F49" s="33">
        <v>9.0</v>
      </c>
    </row>
    <row r="50">
      <c r="A50" s="27" t="s">
        <v>23</v>
      </c>
      <c r="B50" s="20">
        <v>0.0</v>
      </c>
      <c r="C50" s="31">
        <v>7.0</v>
      </c>
      <c r="D50" s="32">
        <f t="shared" si="64"/>
        <v>0</v>
      </c>
      <c r="F50" s="33"/>
    </row>
    <row r="51">
      <c r="A51" s="27" t="s">
        <v>24</v>
      </c>
      <c r="B51" s="20">
        <v>0.0</v>
      </c>
      <c r="C51" s="31">
        <v>2.0</v>
      </c>
      <c r="D51" s="32">
        <f t="shared" si="64"/>
        <v>0</v>
      </c>
      <c r="F51" s="33"/>
    </row>
    <row r="52">
      <c r="A52" s="51" t="s">
        <v>25</v>
      </c>
      <c r="B52" s="52">
        <f t="shared" ref="B52:C52" si="66">sum(B49:B51)</f>
        <v>1</v>
      </c>
      <c r="C52" s="52">
        <f t="shared" si="66"/>
        <v>15</v>
      </c>
      <c r="D52" s="76">
        <f t="shared" si="64"/>
        <v>0.06666666667</v>
      </c>
      <c r="E52" s="78"/>
      <c r="F52" s="55">
        <f>SUM(F49:F51)</f>
        <v>9</v>
      </c>
    </row>
  </sheetData>
  <mergeCells count="13">
    <mergeCell ref="B2:E2"/>
    <mergeCell ref="H2:L2"/>
    <mergeCell ref="N2:R2"/>
    <mergeCell ref="T2:W2"/>
    <mergeCell ref="A1:W1"/>
    <mergeCell ref="A17:R18"/>
    <mergeCell ref="E28:G28"/>
    <mergeCell ref="H28:J28"/>
    <mergeCell ref="B28:C28"/>
    <mergeCell ref="A27:L27"/>
    <mergeCell ref="E42:F42"/>
    <mergeCell ref="B42:C42"/>
    <mergeCell ref="A41:F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9.0"/>
    <col customWidth="1" min="3" max="3" width="8.63"/>
    <col customWidth="1" min="4" max="4" width="7.13"/>
    <col customWidth="1" min="5" max="7" width="8.13"/>
    <col customWidth="1" min="8" max="8" width="8.63"/>
    <col customWidth="1" min="9" max="9" width="7.88"/>
    <col customWidth="1" min="10" max="10" width="11.0"/>
    <col customWidth="1" min="11" max="11" width="8.5"/>
    <col customWidth="1" min="12" max="13" width="9.38"/>
    <col customWidth="1" min="14" max="14" width="8.63"/>
    <col customWidth="1" min="15" max="15" width="7.88"/>
    <col customWidth="1" min="16" max="16" width="8.63"/>
    <col customWidth="1" min="17" max="17" width="9.88"/>
    <col customWidth="1" min="18" max="18" width="9.38"/>
    <col customWidth="1" min="19" max="19" width="7.13"/>
    <col customWidth="1" min="20" max="20" width="10.13"/>
    <col customWidth="1" min="21" max="21" width="9.0"/>
    <col customWidth="1" min="22" max="22" width="11.38"/>
    <col customWidth="1" min="23" max="23" width="5.88"/>
    <col customWidth="1" min="24" max="24" width="7.13"/>
    <col customWidth="1" min="25" max="26" width="9.88"/>
    <col customWidth="1" min="27" max="27" width="7.75"/>
    <col customWidth="1" min="29" max="29" width="7.63"/>
    <col customWidth="1" min="30" max="30" width="4.5"/>
    <col customWidth="1" min="32" max="34" width="8.75"/>
    <col customWidth="1" min="35" max="35" width="10.5"/>
    <col customWidth="1" min="36" max="50" width="8.75"/>
  </cols>
  <sheetData>
    <row r="1">
      <c r="A1" s="79" t="s">
        <v>36</v>
      </c>
      <c r="AC1" s="80"/>
    </row>
    <row r="3">
      <c r="A3" s="81" t="s">
        <v>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3"/>
      <c r="X3" s="4"/>
      <c r="Y3" s="6"/>
      <c r="Z3" s="6"/>
      <c r="AA3" s="7"/>
      <c r="AB3" s="5"/>
      <c r="AC3" s="8" t="s">
        <v>1</v>
      </c>
      <c r="AD3" s="9" t="s">
        <v>2</v>
      </c>
    </row>
    <row r="4">
      <c r="A4" s="10"/>
      <c r="B4" s="84" t="s">
        <v>37</v>
      </c>
      <c r="C4" s="85"/>
      <c r="D4" s="85"/>
      <c r="E4" s="85"/>
      <c r="F4" s="86"/>
      <c r="G4" s="86" t="s">
        <v>38</v>
      </c>
      <c r="H4" s="85"/>
      <c r="I4" s="85"/>
      <c r="J4" s="85"/>
      <c r="K4" s="85"/>
      <c r="L4" s="86"/>
      <c r="M4" s="86" t="s">
        <v>39</v>
      </c>
      <c r="N4" s="85"/>
      <c r="O4" s="85"/>
      <c r="P4" s="85"/>
      <c r="Q4" s="85"/>
      <c r="R4" s="13"/>
      <c r="S4" s="12"/>
      <c r="T4" s="86" t="s">
        <v>6</v>
      </c>
      <c r="U4" s="85"/>
      <c r="V4" s="85"/>
      <c r="W4" s="87"/>
      <c r="X4" s="15"/>
      <c r="Y4" s="15"/>
      <c r="Z4" s="15"/>
      <c r="AB4" s="16"/>
      <c r="AD4" s="13"/>
    </row>
    <row r="5">
      <c r="A5" s="17"/>
      <c r="B5" s="18" t="s">
        <v>7</v>
      </c>
      <c r="C5" s="18" t="s">
        <v>9</v>
      </c>
      <c r="D5" s="18" t="s">
        <v>10</v>
      </c>
      <c r="E5" s="18" t="s">
        <v>11</v>
      </c>
      <c r="F5" s="18"/>
      <c r="G5" s="18" t="s">
        <v>7</v>
      </c>
      <c r="H5" s="21" t="s">
        <v>8</v>
      </c>
      <c r="I5" s="18" t="s">
        <v>9</v>
      </c>
      <c r="J5" s="18" t="s">
        <v>10</v>
      </c>
      <c r="K5" s="18" t="s">
        <v>11</v>
      </c>
      <c r="L5" s="18"/>
      <c r="M5" s="18" t="s">
        <v>7</v>
      </c>
      <c r="N5" s="21" t="s">
        <v>8</v>
      </c>
      <c r="O5" s="18" t="s">
        <v>9</v>
      </c>
      <c r="P5" s="18" t="s">
        <v>10</v>
      </c>
      <c r="Q5" s="18" t="s">
        <v>11</v>
      </c>
      <c r="R5" s="18"/>
      <c r="S5" s="18" t="s">
        <v>40</v>
      </c>
      <c r="T5" s="18" t="s">
        <v>7</v>
      </c>
      <c r="U5" s="18" t="s">
        <v>9</v>
      </c>
      <c r="V5" s="18" t="s">
        <v>10</v>
      </c>
      <c r="W5" s="22" t="s">
        <v>11</v>
      </c>
      <c r="X5" s="23" t="s">
        <v>12</v>
      </c>
      <c r="Y5" s="25" t="s">
        <v>13</v>
      </c>
      <c r="Z5" s="25" t="s">
        <v>14</v>
      </c>
      <c r="AA5" s="26" t="s">
        <v>15</v>
      </c>
      <c r="AB5" s="24" t="s">
        <v>16</v>
      </c>
      <c r="AD5" s="13"/>
    </row>
    <row r="6">
      <c r="A6" s="27" t="s">
        <v>17</v>
      </c>
      <c r="B6" s="28">
        <v>26.0</v>
      </c>
      <c r="C6" s="28">
        <v>0.0</v>
      </c>
      <c r="D6" s="30">
        <f t="shared" ref="D6:D9" si="1">SUM(B6:C6)</f>
        <v>26</v>
      </c>
      <c r="E6" s="31">
        <v>21.0</v>
      </c>
      <c r="F6" s="32">
        <f t="shared" ref="F6:F14" si="2">D6/E6</f>
        <v>1.238095238</v>
      </c>
      <c r="G6" s="88">
        <v>31.0</v>
      </c>
      <c r="H6" s="28">
        <v>0.0</v>
      </c>
      <c r="I6" s="28">
        <v>1.0</v>
      </c>
      <c r="J6" s="30">
        <f t="shared" ref="J6:J9" si="3">SUM(G6:I6)</f>
        <v>32</v>
      </c>
      <c r="K6" s="31">
        <v>27.0</v>
      </c>
      <c r="L6" s="32">
        <f t="shared" ref="L6:L14" si="4">J6/K6</f>
        <v>1.185185185</v>
      </c>
      <c r="M6" s="28">
        <v>42.0</v>
      </c>
      <c r="N6" s="28">
        <v>0.0</v>
      </c>
      <c r="O6" s="28">
        <v>1.0</v>
      </c>
      <c r="P6" s="30">
        <f t="shared" ref="P6:P9" si="5">SUM(M6:O6)</f>
        <v>43</v>
      </c>
      <c r="Q6" s="31">
        <v>48.0</v>
      </c>
      <c r="R6" s="32">
        <f t="shared" ref="R6:R14" si="6">P6/Q6</f>
        <v>0.8958333333</v>
      </c>
      <c r="S6" s="72"/>
      <c r="T6" s="20">
        <f>M6+G6+B6+N6+H6</f>
        <v>99</v>
      </c>
      <c r="U6" s="20">
        <f t="shared" ref="U6:U9" si="7">O6+I6+C6</f>
        <v>2</v>
      </c>
      <c r="V6" s="30">
        <f>sum(S6:U6)</f>
        <v>101</v>
      </c>
      <c r="W6" s="33">
        <f t="shared" ref="W6:W9" si="8">E6+K6+Q6</f>
        <v>96</v>
      </c>
      <c r="X6" s="34">
        <f t="shared" ref="X6:X9" si="9">W6-V6</f>
        <v>-5</v>
      </c>
      <c r="Y6" s="27">
        <f t="shared" ref="Y6:Y9" si="10">round(X6/$Y$18*7,0)</f>
        <v>9</v>
      </c>
      <c r="Z6" s="27">
        <f t="shared" ref="Z6:Z9" si="11">U6+T6</f>
        <v>101</v>
      </c>
      <c r="AA6" s="20">
        <f t="shared" ref="AA6:AA9" si="12">W6</f>
        <v>96</v>
      </c>
      <c r="AB6" s="37">
        <f t="shared" ref="AB6:AB9" si="13">(T6+U6)/W6</f>
        <v>1.052083333</v>
      </c>
      <c r="AC6" s="38">
        <v>46203.0</v>
      </c>
      <c r="AD6" s="39" t="s">
        <v>41</v>
      </c>
      <c r="AR6" s="13"/>
      <c r="AS6" s="13"/>
      <c r="AT6" s="13"/>
      <c r="AU6" s="13"/>
      <c r="AV6" s="13"/>
      <c r="AW6" s="13"/>
      <c r="AX6" s="13"/>
      <c r="AY6" s="13"/>
      <c r="AZ6" s="13"/>
    </row>
    <row r="7">
      <c r="A7" s="27" t="s">
        <v>18</v>
      </c>
      <c r="B7" s="28">
        <v>23.0</v>
      </c>
      <c r="C7" s="28"/>
      <c r="D7" s="30">
        <f t="shared" si="1"/>
        <v>23</v>
      </c>
      <c r="E7" s="31">
        <v>15.0</v>
      </c>
      <c r="F7" s="32">
        <f t="shared" si="2"/>
        <v>1.533333333</v>
      </c>
      <c r="G7" s="28">
        <v>27.0</v>
      </c>
      <c r="H7" s="28"/>
      <c r="I7" s="28">
        <v>1.0</v>
      </c>
      <c r="J7" s="30">
        <f t="shared" si="3"/>
        <v>28</v>
      </c>
      <c r="K7" s="31">
        <v>20.0</v>
      </c>
      <c r="L7" s="32">
        <f t="shared" si="4"/>
        <v>1.4</v>
      </c>
      <c r="M7" s="88">
        <v>25.0</v>
      </c>
      <c r="N7" s="28"/>
      <c r="O7" s="28">
        <v>1.0</v>
      </c>
      <c r="P7" s="30">
        <f t="shared" si="5"/>
        <v>26</v>
      </c>
      <c r="Q7" s="31">
        <v>36.0</v>
      </c>
      <c r="R7" s="32">
        <f t="shared" si="6"/>
        <v>0.7222222222</v>
      </c>
      <c r="S7" s="72"/>
      <c r="T7" s="20">
        <v>75.0</v>
      </c>
      <c r="U7" s="20">
        <f t="shared" si="7"/>
        <v>2</v>
      </c>
      <c r="V7" s="30">
        <v>77.0</v>
      </c>
      <c r="W7" s="33">
        <f t="shared" si="8"/>
        <v>71</v>
      </c>
      <c r="X7" s="34">
        <f t="shared" si="9"/>
        <v>-6</v>
      </c>
      <c r="Y7" s="27">
        <f t="shared" si="10"/>
        <v>11</v>
      </c>
      <c r="Z7" s="27">
        <f t="shared" si="11"/>
        <v>77</v>
      </c>
      <c r="AA7" s="20">
        <f t="shared" si="12"/>
        <v>71</v>
      </c>
      <c r="AB7" s="37">
        <f t="shared" si="13"/>
        <v>1.084507042</v>
      </c>
      <c r="AC7" s="38">
        <v>46203.0</v>
      </c>
      <c r="AD7" s="39" t="s">
        <v>42</v>
      </c>
      <c r="AR7" s="13"/>
      <c r="AS7" s="13"/>
      <c r="AT7" s="13"/>
      <c r="AU7" s="13"/>
      <c r="AV7" s="13"/>
      <c r="AW7" s="13"/>
      <c r="AX7" s="13"/>
      <c r="AY7" s="13"/>
      <c r="AZ7" s="13"/>
    </row>
    <row r="8">
      <c r="A8" s="27" t="s">
        <v>19</v>
      </c>
      <c r="B8" s="28">
        <v>22.0</v>
      </c>
      <c r="C8" s="41"/>
      <c r="D8" s="30">
        <f t="shared" si="1"/>
        <v>22</v>
      </c>
      <c r="E8" s="31">
        <v>17.0</v>
      </c>
      <c r="F8" s="32">
        <f t="shared" si="2"/>
        <v>1.294117647</v>
      </c>
      <c r="G8" s="28">
        <v>41.0</v>
      </c>
      <c r="H8" s="28"/>
      <c r="I8" s="28"/>
      <c r="J8" s="30">
        <f t="shared" si="3"/>
        <v>41</v>
      </c>
      <c r="K8" s="31">
        <v>23.0</v>
      </c>
      <c r="L8" s="32">
        <f t="shared" si="4"/>
        <v>1.782608696</v>
      </c>
      <c r="M8" s="28">
        <v>25.0</v>
      </c>
      <c r="N8" s="28">
        <v>2.0</v>
      </c>
      <c r="O8" s="28"/>
      <c r="P8" s="30">
        <f t="shared" si="5"/>
        <v>27</v>
      </c>
      <c r="Q8" s="31">
        <v>40.0</v>
      </c>
      <c r="R8" s="32">
        <f t="shared" si="6"/>
        <v>0.675</v>
      </c>
      <c r="S8" s="72"/>
      <c r="T8" s="20">
        <f t="shared" ref="T8:T9" si="14">M8+G8+B8+N8+H8</f>
        <v>90</v>
      </c>
      <c r="U8" s="20">
        <f t="shared" si="7"/>
        <v>0</v>
      </c>
      <c r="V8" s="30">
        <f t="shared" ref="V8:V9" si="15">sum(S8:U8)</f>
        <v>90</v>
      </c>
      <c r="W8" s="33">
        <f t="shared" si="8"/>
        <v>80</v>
      </c>
      <c r="X8" s="34">
        <f t="shared" si="9"/>
        <v>-10</v>
      </c>
      <c r="Y8" s="27">
        <f t="shared" si="10"/>
        <v>18</v>
      </c>
      <c r="Z8" s="27">
        <f t="shared" si="11"/>
        <v>90</v>
      </c>
      <c r="AA8" s="20">
        <f t="shared" si="12"/>
        <v>80</v>
      </c>
      <c r="AB8" s="37">
        <f t="shared" si="13"/>
        <v>1.125</v>
      </c>
      <c r="AC8" s="38">
        <v>46203.0</v>
      </c>
      <c r="AD8" s="39" t="s">
        <v>43</v>
      </c>
      <c r="AR8" s="13"/>
      <c r="AS8" s="13"/>
      <c r="AT8" s="13"/>
      <c r="AU8" s="13"/>
      <c r="AV8" s="13"/>
      <c r="AW8" s="13"/>
      <c r="AX8" s="13"/>
      <c r="AY8" s="13"/>
      <c r="AZ8" s="13"/>
    </row>
    <row r="9">
      <c r="A9" s="27" t="s">
        <v>20</v>
      </c>
      <c r="B9" s="42">
        <v>43.0</v>
      </c>
      <c r="C9" s="43">
        <v>9.0</v>
      </c>
      <c r="D9" s="30">
        <f t="shared" si="1"/>
        <v>52</v>
      </c>
      <c r="E9" s="31">
        <v>29.0</v>
      </c>
      <c r="F9" s="32">
        <f t="shared" si="2"/>
        <v>1.793103448</v>
      </c>
      <c r="G9" s="28">
        <v>38.0</v>
      </c>
      <c r="H9" s="28">
        <v>0.0</v>
      </c>
      <c r="I9" s="28">
        <v>7.0</v>
      </c>
      <c r="J9" s="30">
        <f t="shared" si="3"/>
        <v>45</v>
      </c>
      <c r="K9" s="31">
        <v>37.0</v>
      </c>
      <c r="L9" s="32">
        <f t="shared" si="4"/>
        <v>1.216216216</v>
      </c>
      <c r="M9" s="28">
        <v>43.0</v>
      </c>
      <c r="N9" s="28">
        <v>1.0</v>
      </c>
      <c r="O9" s="28">
        <v>7.0</v>
      </c>
      <c r="P9" s="30">
        <f t="shared" si="5"/>
        <v>51</v>
      </c>
      <c r="Q9" s="31">
        <v>60.0</v>
      </c>
      <c r="R9" s="32">
        <f t="shared" si="6"/>
        <v>0.85</v>
      </c>
      <c r="S9" s="72"/>
      <c r="T9" s="20">
        <f t="shared" si="14"/>
        <v>125</v>
      </c>
      <c r="U9" s="20">
        <f t="shared" si="7"/>
        <v>23</v>
      </c>
      <c r="V9" s="30">
        <f t="shared" si="15"/>
        <v>148</v>
      </c>
      <c r="W9" s="33">
        <f t="shared" si="8"/>
        <v>126</v>
      </c>
      <c r="X9" s="34">
        <f t="shared" si="9"/>
        <v>-22</v>
      </c>
      <c r="Y9" s="27">
        <f t="shared" si="10"/>
        <v>39</v>
      </c>
      <c r="Z9" s="27">
        <f t="shared" si="11"/>
        <v>148</v>
      </c>
      <c r="AA9" s="20">
        <f t="shared" si="12"/>
        <v>126</v>
      </c>
      <c r="AB9" s="37">
        <f t="shared" si="13"/>
        <v>1.174603175</v>
      </c>
      <c r="AC9" s="38">
        <v>46203.0</v>
      </c>
      <c r="AD9" s="39" t="s">
        <v>44</v>
      </c>
      <c r="AR9" s="13"/>
      <c r="AS9" s="13"/>
      <c r="AT9" s="13"/>
      <c r="AU9" s="13"/>
      <c r="AV9" s="13"/>
      <c r="AW9" s="13"/>
      <c r="AX9" s="13"/>
      <c r="AY9" s="13"/>
      <c r="AZ9" s="13"/>
    </row>
    <row r="10">
      <c r="A10" s="44" t="s">
        <v>21</v>
      </c>
      <c r="B10" s="45">
        <f t="shared" ref="B10:E10" si="16">sum(B6:B9)</f>
        <v>114</v>
      </c>
      <c r="C10" s="45">
        <f t="shared" si="16"/>
        <v>9</v>
      </c>
      <c r="D10" s="45">
        <f t="shared" si="16"/>
        <v>123</v>
      </c>
      <c r="E10" s="45">
        <f t="shared" si="16"/>
        <v>82</v>
      </c>
      <c r="F10" s="47">
        <f t="shared" si="2"/>
        <v>1.5</v>
      </c>
      <c r="G10" s="45">
        <f>sum(G5:G9)</f>
        <v>137</v>
      </c>
      <c r="H10" s="45">
        <f t="shared" ref="H10:K10" si="17">sum(H6:H9)</f>
        <v>0</v>
      </c>
      <c r="I10" s="45">
        <f t="shared" si="17"/>
        <v>9</v>
      </c>
      <c r="J10" s="45">
        <f t="shared" si="17"/>
        <v>146</v>
      </c>
      <c r="K10" s="45">
        <f t="shared" si="17"/>
        <v>107</v>
      </c>
      <c r="L10" s="47">
        <f t="shared" si="4"/>
        <v>1.364485981</v>
      </c>
      <c r="M10" s="45">
        <f t="shared" ref="M10:Q10" si="18">sum(M6:M9)</f>
        <v>135</v>
      </c>
      <c r="N10" s="45">
        <f t="shared" si="18"/>
        <v>3</v>
      </c>
      <c r="O10" s="45">
        <f t="shared" si="18"/>
        <v>9</v>
      </c>
      <c r="P10" s="45">
        <f t="shared" si="18"/>
        <v>147</v>
      </c>
      <c r="Q10" s="45">
        <f t="shared" si="18"/>
        <v>184</v>
      </c>
      <c r="R10" s="47">
        <f t="shared" si="6"/>
        <v>0.7989130435</v>
      </c>
      <c r="S10" s="45">
        <f t="shared" ref="S10:X10" si="19">sum(S6:S9)</f>
        <v>0</v>
      </c>
      <c r="T10" s="45">
        <f t="shared" si="19"/>
        <v>389</v>
      </c>
      <c r="U10" s="45">
        <f t="shared" si="19"/>
        <v>27</v>
      </c>
      <c r="V10" s="45">
        <f t="shared" si="19"/>
        <v>416</v>
      </c>
      <c r="W10" s="48">
        <f t="shared" si="19"/>
        <v>373</v>
      </c>
      <c r="X10" s="49">
        <f t="shared" si="19"/>
        <v>-43</v>
      </c>
      <c r="Y10" s="49">
        <f>round(X10/Y18*7,0)</f>
        <v>75</v>
      </c>
      <c r="Z10" s="49">
        <f t="shared" ref="Z10:AA10" si="20">sum(Z6:Z9)</f>
        <v>416</v>
      </c>
      <c r="AA10" s="45">
        <f t="shared" si="20"/>
        <v>373</v>
      </c>
      <c r="AB10" s="89">
        <f>Z10/AA10</f>
        <v>1.115281501</v>
      </c>
      <c r="AD10" s="39"/>
      <c r="AR10" s="13"/>
      <c r="AS10" s="13"/>
      <c r="AT10" s="13"/>
      <c r="AU10" s="13"/>
      <c r="AV10" s="13"/>
      <c r="AW10" s="13"/>
      <c r="AX10" s="13"/>
      <c r="AY10" s="13"/>
      <c r="AZ10" s="13"/>
    </row>
    <row r="11">
      <c r="A11" s="27" t="s">
        <v>22</v>
      </c>
      <c r="B11" s="20">
        <v>18.0</v>
      </c>
      <c r="C11" s="20">
        <v>4.0</v>
      </c>
      <c r="D11" s="30">
        <f t="shared" ref="D11:D13" si="21">SUM(B11:C11)</f>
        <v>22</v>
      </c>
      <c r="E11" s="31">
        <v>22.0</v>
      </c>
      <c r="F11" s="32">
        <f t="shared" si="2"/>
        <v>1</v>
      </c>
      <c r="G11" s="28">
        <v>21.0</v>
      </c>
      <c r="H11" s="28">
        <v>0.0</v>
      </c>
      <c r="I11" s="28">
        <v>6.0</v>
      </c>
      <c r="J11" s="30">
        <f t="shared" ref="J11:J13" si="22">SUM(G11:I11)</f>
        <v>27</v>
      </c>
      <c r="K11" s="31">
        <v>26.0</v>
      </c>
      <c r="L11" s="32">
        <f t="shared" si="4"/>
        <v>1.038461538</v>
      </c>
      <c r="M11" s="28">
        <v>23.0</v>
      </c>
      <c r="N11" s="28">
        <v>4.0</v>
      </c>
      <c r="O11" s="28">
        <v>3.0</v>
      </c>
      <c r="P11" s="30">
        <f t="shared" ref="P11:P13" si="23">SUM(M11:O11)</f>
        <v>30</v>
      </c>
      <c r="Q11" s="31">
        <v>44.0</v>
      </c>
      <c r="R11" s="32">
        <f t="shared" si="6"/>
        <v>0.6818181818</v>
      </c>
      <c r="S11" s="72"/>
      <c r="T11" s="20">
        <f t="shared" ref="T11:T13" si="24">M11+G11+B11+N11+H11</f>
        <v>66</v>
      </c>
      <c r="U11" s="20">
        <f t="shared" ref="U11:U13" si="25">O11+I11+C11</f>
        <v>13</v>
      </c>
      <c r="V11" s="30">
        <f t="shared" ref="V11:V13" si="26">sum(S11:U11)</f>
        <v>79</v>
      </c>
      <c r="W11" s="33">
        <f t="shared" ref="W11:W13" si="27">E11+K11+Q11</f>
        <v>92</v>
      </c>
      <c r="X11" s="34">
        <f t="shared" ref="X11:X13" si="28">W11-V11</f>
        <v>13</v>
      </c>
      <c r="Y11" s="27">
        <f t="shared" ref="Y11:Y13" si="29">round(X11/$Y$18*7,0)</f>
        <v>-23</v>
      </c>
      <c r="Z11" s="27">
        <f t="shared" ref="Z11:Z13" si="30">U11+T11</f>
        <v>79</v>
      </c>
      <c r="AA11" s="20">
        <f t="shared" ref="AA11:AA13" si="31">W11</f>
        <v>92</v>
      </c>
      <c r="AB11" s="37">
        <f t="shared" ref="AB11:AB13" si="32">(T11+U11)/W11</f>
        <v>0.8586956522</v>
      </c>
      <c r="AC11" s="38">
        <v>46203.0</v>
      </c>
      <c r="AD11" s="39" t="s">
        <v>45</v>
      </c>
      <c r="AR11" s="13"/>
      <c r="AS11" s="13"/>
      <c r="AT11" s="13"/>
      <c r="AU11" s="13"/>
      <c r="AV11" s="13"/>
      <c r="AW11" s="13"/>
      <c r="AX11" s="13"/>
      <c r="AY11" s="13"/>
      <c r="AZ11" s="13"/>
    </row>
    <row r="12">
      <c r="A12" s="27" t="s">
        <v>23</v>
      </c>
      <c r="B12" s="20">
        <v>19.0</v>
      </c>
      <c r="C12" s="20">
        <v>6.0</v>
      </c>
      <c r="D12" s="30">
        <f t="shared" si="21"/>
        <v>25</v>
      </c>
      <c r="E12" s="31">
        <v>21.0</v>
      </c>
      <c r="F12" s="32">
        <f t="shared" si="2"/>
        <v>1.19047619</v>
      </c>
      <c r="G12" s="28">
        <v>37.0</v>
      </c>
      <c r="H12" s="28">
        <v>1.0</v>
      </c>
      <c r="I12" s="28">
        <v>0.0</v>
      </c>
      <c r="J12" s="30">
        <f t="shared" si="22"/>
        <v>38</v>
      </c>
      <c r="K12" s="31">
        <v>27.0</v>
      </c>
      <c r="L12" s="32">
        <f t="shared" si="4"/>
        <v>1.407407407</v>
      </c>
      <c r="M12" s="28">
        <v>31.0</v>
      </c>
      <c r="N12" s="28">
        <v>1.0</v>
      </c>
      <c r="O12" s="28">
        <v>2.0</v>
      </c>
      <c r="P12" s="30">
        <f t="shared" si="23"/>
        <v>34</v>
      </c>
      <c r="Q12" s="31">
        <v>49.0</v>
      </c>
      <c r="R12" s="32">
        <f t="shared" si="6"/>
        <v>0.693877551</v>
      </c>
      <c r="S12" s="72"/>
      <c r="T12" s="20">
        <f t="shared" si="24"/>
        <v>89</v>
      </c>
      <c r="U12" s="20">
        <f t="shared" si="25"/>
        <v>8</v>
      </c>
      <c r="V12" s="30">
        <f t="shared" si="26"/>
        <v>97</v>
      </c>
      <c r="W12" s="33">
        <f t="shared" si="27"/>
        <v>97</v>
      </c>
      <c r="X12" s="34">
        <f t="shared" si="28"/>
        <v>0</v>
      </c>
      <c r="Y12" s="27">
        <f t="shared" si="29"/>
        <v>0</v>
      </c>
      <c r="Z12" s="27">
        <f t="shared" si="30"/>
        <v>97</v>
      </c>
      <c r="AA12" s="20">
        <f t="shared" si="31"/>
        <v>97</v>
      </c>
      <c r="AB12" s="37">
        <f t="shared" si="32"/>
        <v>1</v>
      </c>
      <c r="AC12" s="38">
        <v>46203.0</v>
      </c>
      <c r="AD12" s="39" t="s">
        <v>46</v>
      </c>
      <c r="AE12" s="88"/>
      <c r="AR12" s="13"/>
      <c r="AS12" s="13"/>
      <c r="AT12" s="13"/>
      <c r="AU12" s="13"/>
      <c r="AV12" s="13"/>
      <c r="AW12" s="13"/>
      <c r="AX12" s="13"/>
      <c r="AY12" s="13"/>
      <c r="AZ12" s="13"/>
    </row>
    <row r="13">
      <c r="A13" s="27" t="s">
        <v>24</v>
      </c>
      <c r="B13" s="20">
        <v>6.0</v>
      </c>
      <c r="C13" s="20"/>
      <c r="D13" s="30">
        <f t="shared" si="21"/>
        <v>6</v>
      </c>
      <c r="E13" s="31">
        <v>6.0</v>
      </c>
      <c r="F13" s="32">
        <f t="shared" si="2"/>
        <v>1</v>
      </c>
      <c r="G13" s="28">
        <v>7.0</v>
      </c>
      <c r="H13" s="28">
        <v>0.0</v>
      </c>
      <c r="I13" s="28"/>
      <c r="J13" s="30">
        <f t="shared" si="22"/>
        <v>7</v>
      </c>
      <c r="K13" s="31">
        <v>9.0</v>
      </c>
      <c r="L13" s="32">
        <f t="shared" si="4"/>
        <v>0.7777777778</v>
      </c>
      <c r="M13" s="28">
        <v>15.0</v>
      </c>
      <c r="N13" s="28">
        <v>2.0</v>
      </c>
      <c r="O13" s="28"/>
      <c r="P13" s="30">
        <f t="shared" si="23"/>
        <v>17</v>
      </c>
      <c r="Q13" s="31">
        <v>13.0</v>
      </c>
      <c r="R13" s="32">
        <f t="shared" si="6"/>
        <v>1.307692308</v>
      </c>
      <c r="S13" s="72"/>
      <c r="T13" s="20">
        <f t="shared" si="24"/>
        <v>30</v>
      </c>
      <c r="U13" s="20">
        <f t="shared" si="25"/>
        <v>0</v>
      </c>
      <c r="V13" s="30">
        <f t="shared" si="26"/>
        <v>30</v>
      </c>
      <c r="W13" s="33">
        <f t="shared" si="27"/>
        <v>28</v>
      </c>
      <c r="X13" s="34">
        <f t="shared" si="28"/>
        <v>-2</v>
      </c>
      <c r="Y13" s="27">
        <f t="shared" si="29"/>
        <v>4</v>
      </c>
      <c r="Z13" s="27">
        <f t="shared" si="30"/>
        <v>30</v>
      </c>
      <c r="AA13" s="20">
        <f t="shared" si="31"/>
        <v>28</v>
      </c>
      <c r="AB13" s="37">
        <f t="shared" si="32"/>
        <v>1.071428571</v>
      </c>
      <c r="AC13" s="38">
        <v>46203.0</v>
      </c>
      <c r="AD13" s="39" t="s">
        <v>47</v>
      </c>
      <c r="AR13" s="13"/>
      <c r="AS13" s="13"/>
      <c r="AT13" s="13"/>
      <c r="AU13" s="13"/>
      <c r="AV13" s="13"/>
      <c r="AW13" s="13"/>
      <c r="AX13" s="13"/>
      <c r="AY13" s="13"/>
      <c r="AZ13" s="13"/>
    </row>
    <row r="14">
      <c r="A14" s="51" t="s">
        <v>25</v>
      </c>
      <c r="B14" s="52">
        <f t="shared" ref="B14:E14" si="33">sum(B11:B13)</f>
        <v>43</v>
      </c>
      <c r="C14" s="52">
        <f t="shared" si="33"/>
        <v>10</v>
      </c>
      <c r="D14" s="52">
        <f t="shared" si="33"/>
        <v>53</v>
      </c>
      <c r="E14" s="52">
        <f t="shared" si="33"/>
        <v>49</v>
      </c>
      <c r="F14" s="54">
        <f t="shared" si="2"/>
        <v>1.081632653</v>
      </c>
      <c r="G14" s="52">
        <f t="shared" ref="G14:K14" si="34">sum(G11:G13)</f>
        <v>65</v>
      </c>
      <c r="H14" s="52">
        <f t="shared" si="34"/>
        <v>1</v>
      </c>
      <c r="I14" s="52">
        <f t="shared" si="34"/>
        <v>6</v>
      </c>
      <c r="J14" s="52">
        <f t="shared" si="34"/>
        <v>72</v>
      </c>
      <c r="K14" s="52">
        <f t="shared" si="34"/>
        <v>62</v>
      </c>
      <c r="L14" s="54">
        <f t="shared" si="4"/>
        <v>1.161290323</v>
      </c>
      <c r="M14" s="52">
        <f t="shared" ref="M14:Q14" si="35">sum(M11:M13)</f>
        <v>69</v>
      </c>
      <c r="N14" s="52">
        <f t="shared" si="35"/>
        <v>7</v>
      </c>
      <c r="O14" s="52">
        <f t="shared" si="35"/>
        <v>5</v>
      </c>
      <c r="P14" s="52">
        <f t="shared" si="35"/>
        <v>81</v>
      </c>
      <c r="Q14" s="52">
        <f t="shared" si="35"/>
        <v>106</v>
      </c>
      <c r="R14" s="54">
        <f t="shared" si="6"/>
        <v>0.7641509434</v>
      </c>
      <c r="S14" s="52">
        <f t="shared" ref="S14:X14" si="36">sum(S11:S13)</f>
        <v>0</v>
      </c>
      <c r="T14" s="52">
        <f t="shared" si="36"/>
        <v>185</v>
      </c>
      <c r="U14" s="52">
        <f t="shared" si="36"/>
        <v>21</v>
      </c>
      <c r="V14" s="52">
        <f t="shared" si="36"/>
        <v>206</v>
      </c>
      <c r="W14" s="55">
        <f t="shared" si="36"/>
        <v>217</v>
      </c>
      <c r="X14" s="56">
        <f t="shared" si="36"/>
        <v>11</v>
      </c>
      <c r="Y14" s="56">
        <f>round(X14/Y18*7,0)</f>
        <v>-19</v>
      </c>
      <c r="Z14" s="56">
        <f t="shared" ref="Z14:AA14" si="37">sum(Z11:Z13)</f>
        <v>206</v>
      </c>
      <c r="AA14" s="52">
        <f t="shared" si="37"/>
        <v>217</v>
      </c>
      <c r="AB14" s="90">
        <f>Z14/AA14</f>
        <v>0.9493087558</v>
      </c>
      <c r="AC14" s="38"/>
      <c r="AD14" s="39"/>
      <c r="AR14" s="13"/>
      <c r="AS14" s="13"/>
      <c r="AT14" s="13"/>
      <c r="AU14" s="13"/>
      <c r="AV14" s="13"/>
      <c r="AW14" s="13"/>
      <c r="AX14" s="13"/>
      <c r="AY14" s="13"/>
      <c r="AZ14" s="13"/>
    </row>
    <row r="15">
      <c r="AD15" s="39"/>
      <c r="AR15" s="13"/>
      <c r="AS15" s="13"/>
      <c r="AT15" s="13"/>
      <c r="AU15" s="13"/>
      <c r="AV15" s="13"/>
      <c r="AW15" s="13"/>
      <c r="AX15" s="13"/>
      <c r="AY15" s="13"/>
      <c r="AZ15" s="13"/>
    </row>
    <row r="16">
      <c r="Y16" s="59">
        <v>46203.0</v>
      </c>
      <c r="Z16" s="60"/>
      <c r="AA16" s="36" t="str">
        <f>#REF!-#REF!</f>
        <v>#REF!</v>
      </c>
      <c r="AC16" s="61"/>
      <c r="AD16" s="39"/>
      <c r="AR16" s="13"/>
      <c r="AS16" s="13"/>
      <c r="AT16" s="13"/>
      <c r="AU16" s="13"/>
      <c r="AV16" s="13"/>
      <c r="AW16" s="13"/>
      <c r="AX16" s="13"/>
      <c r="AY16" s="13"/>
      <c r="AZ16" s="13"/>
    </row>
    <row r="17">
      <c r="A17" s="81" t="s">
        <v>26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3"/>
      <c r="S17" s="8" t="s">
        <v>1</v>
      </c>
      <c r="T17" s="9" t="s">
        <v>2</v>
      </c>
      <c r="Y17" s="62">
        <f>today()</f>
        <v>46207</v>
      </c>
      <c r="AC17" s="61"/>
      <c r="AD17" s="39"/>
      <c r="AR17" s="13"/>
      <c r="AS17" s="13"/>
      <c r="AT17" s="13"/>
      <c r="AU17" s="13"/>
      <c r="AV17" s="13"/>
      <c r="AW17" s="13"/>
      <c r="AX17" s="13"/>
      <c r="AY17" s="13"/>
      <c r="AZ17" s="13"/>
    </row>
    <row r="18">
      <c r="A18" s="10"/>
      <c r="B18" s="84" t="s">
        <v>48</v>
      </c>
      <c r="C18" s="85"/>
      <c r="D18" s="85"/>
      <c r="E18" s="85"/>
      <c r="F18" s="84" t="s">
        <v>38</v>
      </c>
      <c r="G18" s="85"/>
      <c r="H18" s="85"/>
      <c r="I18" s="85"/>
      <c r="J18" s="84" t="s">
        <v>39</v>
      </c>
      <c r="K18" s="85"/>
      <c r="L18" s="85"/>
      <c r="M18" s="85"/>
      <c r="N18" s="84"/>
      <c r="O18" s="86" t="s">
        <v>6</v>
      </c>
      <c r="P18" s="85"/>
      <c r="Q18" s="85"/>
      <c r="R18" s="87"/>
      <c r="Y18" s="36">
        <f>Y16-Y17</f>
        <v>-4</v>
      </c>
      <c r="AC18" s="61"/>
      <c r="AD18" s="39"/>
      <c r="AR18" s="13"/>
      <c r="AS18" s="13"/>
      <c r="AT18" s="13"/>
      <c r="AU18" s="13"/>
      <c r="AV18" s="13"/>
      <c r="AW18" s="13"/>
      <c r="AX18" s="13"/>
      <c r="AY18" s="13"/>
      <c r="AZ18" s="13"/>
    </row>
    <row r="19">
      <c r="A19" s="17"/>
      <c r="B19" s="18" t="s">
        <v>27</v>
      </c>
      <c r="C19" s="18" t="s">
        <v>28</v>
      </c>
      <c r="D19" s="18" t="s">
        <v>10</v>
      </c>
      <c r="E19" s="18" t="s">
        <v>29</v>
      </c>
      <c r="F19" s="18" t="s">
        <v>27</v>
      </c>
      <c r="G19" s="18" t="s">
        <v>28</v>
      </c>
      <c r="H19" s="18" t="s">
        <v>10</v>
      </c>
      <c r="I19" s="18" t="s">
        <v>29</v>
      </c>
      <c r="J19" s="18" t="s">
        <v>27</v>
      </c>
      <c r="K19" s="18" t="s">
        <v>28</v>
      </c>
      <c r="L19" s="18" t="s">
        <v>10</v>
      </c>
      <c r="M19" s="18" t="s">
        <v>29</v>
      </c>
      <c r="N19" s="18"/>
      <c r="O19" s="18" t="s">
        <v>27</v>
      </c>
      <c r="P19" s="18" t="s">
        <v>28</v>
      </c>
      <c r="Q19" s="18" t="s">
        <v>10</v>
      </c>
      <c r="R19" s="22" t="s">
        <v>29</v>
      </c>
      <c r="W19" s="13"/>
      <c r="AC19" s="61"/>
      <c r="AD19" s="39"/>
      <c r="AR19" s="13"/>
      <c r="AS19" s="13"/>
      <c r="AT19" s="13"/>
      <c r="AU19" s="13"/>
      <c r="AV19" s="13"/>
      <c r="AW19" s="13"/>
      <c r="AX19" s="13"/>
      <c r="AY19" s="13"/>
      <c r="AZ19" s="13"/>
    </row>
    <row r="20">
      <c r="A20" s="69" t="s">
        <v>30</v>
      </c>
      <c r="B20" s="28">
        <v>198.0</v>
      </c>
      <c r="C20" s="28">
        <v>0.0</v>
      </c>
      <c r="D20" s="30">
        <f>SUM(B20:C20)</f>
        <v>198</v>
      </c>
      <c r="E20" s="31"/>
      <c r="F20" s="71">
        <v>128.0</v>
      </c>
      <c r="G20" s="28">
        <v>0.0</v>
      </c>
      <c r="H20" s="30">
        <f>SUM(F20:G20)</f>
        <v>128</v>
      </c>
      <c r="I20" s="31"/>
      <c r="J20" s="71">
        <v>328.0</v>
      </c>
      <c r="K20" s="71">
        <v>0.0</v>
      </c>
      <c r="L20" s="30">
        <f>K20+J20</f>
        <v>328</v>
      </c>
      <c r="M20" s="31"/>
      <c r="N20" s="72"/>
      <c r="O20" s="20">
        <f t="shared" ref="O20:P20" si="38">J20+F20+B20</f>
        <v>654</v>
      </c>
      <c r="P20" s="20">
        <f t="shared" si="38"/>
        <v>0</v>
      </c>
      <c r="Q20" s="30">
        <f>P20+O20</f>
        <v>654</v>
      </c>
      <c r="R20" s="33">
        <f>M20+I20+E20</f>
        <v>0</v>
      </c>
      <c r="S20" s="88" t="s">
        <v>44</v>
      </c>
      <c r="T20" s="61">
        <v>46203.0</v>
      </c>
      <c r="W20" s="13"/>
      <c r="Z20" s="88" t="s">
        <v>49</v>
      </c>
      <c r="AD20" s="13"/>
      <c r="AR20" s="13"/>
      <c r="AS20" s="13"/>
      <c r="AT20" s="13"/>
      <c r="AU20" s="13"/>
      <c r="AV20" s="13"/>
      <c r="AW20" s="13"/>
      <c r="AX20" s="13"/>
      <c r="AY20" s="13"/>
      <c r="AZ20" s="13"/>
    </row>
    <row r="21">
      <c r="A21" s="73" t="s">
        <v>21</v>
      </c>
      <c r="B21" s="45">
        <f t="shared" ref="B21:M21" si="39">sum(B20)</f>
        <v>198</v>
      </c>
      <c r="C21" s="45">
        <f t="shared" si="39"/>
        <v>0</v>
      </c>
      <c r="D21" s="45">
        <f t="shared" si="39"/>
        <v>198</v>
      </c>
      <c r="E21" s="45">
        <f t="shared" si="39"/>
        <v>0</v>
      </c>
      <c r="F21" s="45">
        <f t="shared" si="39"/>
        <v>128</v>
      </c>
      <c r="G21" s="45">
        <f t="shared" si="39"/>
        <v>0</v>
      </c>
      <c r="H21" s="45">
        <f t="shared" si="39"/>
        <v>128</v>
      </c>
      <c r="I21" s="45">
        <f t="shared" si="39"/>
        <v>0</v>
      </c>
      <c r="J21" s="45">
        <f t="shared" si="39"/>
        <v>328</v>
      </c>
      <c r="K21" s="45">
        <f t="shared" si="39"/>
        <v>0</v>
      </c>
      <c r="L21" s="45">
        <f t="shared" si="39"/>
        <v>328</v>
      </c>
      <c r="M21" s="45">
        <f t="shared" si="39"/>
        <v>0</v>
      </c>
      <c r="N21" s="72"/>
      <c r="O21" s="45">
        <f t="shared" ref="O21:R21" si="40">sum(O20)</f>
        <v>654</v>
      </c>
      <c r="P21" s="45">
        <f t="shared" si="40"/>
        <v>0</v>
      </c>
      <c r="Q21" s="45">
        <f t="shared" si="40"/>
        <v>654</v>
      </c>
      <c r="R21" s="48">
        <f t="shared" si="40"/>
        <v>0</v>
      </c>
      <c r="V21" s="61"/>
      <c r="W21" s="39"/>
      <c r="AD21" s="13"/>
      <c r="AR21" s="13"/>
      <c r="AS21" s="13"/>
      <c r="AT21" s="13"/>
      <c r="AU21" s="13"/>
      <c r="AV21" s="13"/>
      <c r="AW21" s="13"/>
      <c r="AX21" s="13"/>
      <c r="AY21" s="13"/>
      <c r="AZ21" s="13"/>
    </row>
    <row r="22">
      <c r="A22" s="69" t="s">
        <v>22</v>
      </c>
      <c r="B22" s="28">
        <v>13.0</v>
      </c>
      <c r="C22" s="20">
        <v>0.0</v>
      </c>
      <c r="D22" s="30">
        <f>SUM(B22:C22)</f>
        <v>13</v>
      </c>
      <c r="E22" s="31"/>
      <c r="F22" s="71">
        <v>237.0</v>
      </c>
      <c r="G22" s="20">
        <v>0.0</v>
      </c>
      <c r="H22" s="30">
        <f>SUM(F22:G22)</f>
        <v>237</v>
      </c>
      <c r="I22" s="31"/>
      <c r="J22" s="71">
        <v>34.0</v>
      </c>
      <c r="K22" s="71">
        <v>0.0</v>
      </c>
      <c r="L22" s="30">
        <f>K22+J22</f>
        <v>34</v>
      </c>
      <c r="M22" s="31"/>
      <c r="N22" s="72"/>
      <c r="O22" s="20">
        <f t="shared" ref="O22:P22" si="41">J22+F22+B22</f>
        <v>284</v>
      </c>
      <c r="P22" s="20">
        <f t="shared" si="41"/>
        <v>0</v>
      </c>
      <c r="Q22" s="30">
        <f>P22+O22</f>
        <v>284</v>
      </c>
      <c r="R22" s="33">
        <f>M22+I22+E22</f>
        <v>0</v>
      </c>
      <c r="S22" s="88" t="s">
        <v>50</v>
      </c>
      <c r="T22" s="61">
        <v>46203.0</v>
      </c>
      <c r="W22" s="13"/>
      <c r="AR22" s="13"/>
      <c r="AS22" s="13"/>
      <c r="AT22" s="13"/>
      <c r="AU22" s="13"/>
      <c r="AV22" s="13"/>
      <c r="AW22" s="13"/>
      <c r="AX22" s="13"/>
      <c r="AY22" s="13"/>
      <c r="AZ22" s="13"/>
    </row>
    <row r="23">
      <c r="A23" s="51" t="s">
        <v>25</v>
      </c>
      <c r="B23" s="52">
        <f t="shared" ref="B23:M23" si="42">sum(B22)</f>
        <v>13</v>
      </c>
      <c r="C23" s="52">
        <f t="shared" si="42"/>
        <v>0</v>
      </c>
      <c r="D23" s="52">
        <f t="shared" si="42"/>
        <v>13</v>
      </c>
      <c r="E23" s="52">
        <f t="shared" si="42"/>
        <v>0</v>
      </c>
      <c r="F23" s="52">
        <f t="shared" si="42"/>
        <v>237</v>
      </c>
      <c r="G23" s="52">
        <f t="shared" si="42"/>
        <v>0</v>
      </c>
      <c r="H23" s="52">
        <f t="shared" si="42"/>
        <v>237</v>
      </c>
      <c r="I23" s="52">
        <f t="shared" si="42"/>
        <v>0</v>
      </c>
      <c r="J23" s="52">
        <f t="shared" si="42"/>
        <v>34</v>
      </c>
      <c r="K23" s="52">
        <f t="shared" si="42"/>
        <v>0</v>
      </c>
      <c r="L23" s="52">
        <f t="shared" si="42"/>
        <v>34</v>
      </c>
      <c r="M23" s="52">
        <f t="shared" si="42"/>
        <v>0</v>
      </c>
      <c r="N23" s="74"/>
      <c r="O23" s="52">
        <f t="shared" ref="O23:R23" si="43">sum(O22)</f>
        <v>284</v>
      </c>
      <c r="P23" s="52">
        <f t="shared" si="43"/>
        <v>0</v>
      </c>
      <c r="Q23" s="52">
        <f t="shared" si="43"/>
        <v>284</v>
      </c>
      <c r="R23" s="55">
        <f t="shared" si="43"/>
        <v>0</v>
      </c>
      <c r="W23" s="39"/>
    </row>
    <row r="25">
      <c r="O25" s="8"/>
    </row>
    <row r="27">
      <c r="A27" s="1" t="s">
        <v>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8" t="s">
        <v>1</v>
      </c>
      <c r="N27" s="9" t="s">
        <v>2</v>
      </c>
      <c r="P27" s="9"/>
    </row>
    <row r="28">
      <c r="A28" s="10"/>
      <c r="B28" s="11" t="s">
        <v>48</v>
      </c>
      <c r="D28" s="11"/>
      <c r="E28" s="12" t="s">
        <v>38</v>
      </c>
      <c r="H28" s="12" t="s">
        <v>39</v>
      </c>
      <c r="K28" s="12" t="s">
        <v>6</v>
      </c>
      <c r="L28" s="75"/>
      <c r="Q28" s="13"/>
    </row>
    <row r="29">
      <c r="A29" s="17"/>
      <c r="B29" s="18" t="s">
        <v>7</v>
      </c>
      <c r="C29" s="18" t="s">
        <v>11</v>
      </c>
      <c r="D29" s="18"/>
      <c r="E29" s="18" t="s">
        <v>7</v>
      </c>
      <c r="F29" s="18" t="s">
        <v>11</v>
      </c>
      <c r="G29" s="18"/>
      <c r="H29" s="18" t="s">
        <v>7</v>
      </c>
      <c r="I29" s="18" t="s">
        <v>11</v>
      </c>
      <c r="J29" s="18"/>
      <c r="K29" s="18" t="s">
        <v>7</v>
      </c>
      <c r="L29" s="22" t="s">
        <v>11</v>
      </c>
      <c r="Q29" s="13"/>
    </row>
    <row r="30">
      <c r="A30" s="27" t="s">
        <v>17</v>
      </c>
      <c r="B30" s="28">
        <v>68.0</v>
      </c>
      <c r="C30" s="31">
        <v>59.0</v>
      </c>
      <c r="D30" s="32">
        <f t="shared" ref="D30:D38" si="45">B30/C30</f>
        <v>1.152542373</v>
      </c>
      <c r="E30" s="28">
        <v>57.0</v>
      </c>
      <c r="F30" s="31">
        <v>59.0</v>
      </c>
      <c r="G30" s="32">
        <f t="shared" ref="G30:G38" si="46">E30/F30</f>
        <v>0.9661016949</v>
      </c>
      <c r="H30" s="28">
        <v>56.0</v>
      </c>
      <c r="I30" s="31">
        <v>62.0</v>
      </c>
      <c r="J30" s="32">
        <f t="shared" ref="J30:J38" si="47">H30/I30</f>
        <v>0.9032258065</v>
      </c>
      <c r="K30" s="20">
        <f t="shared" ref="K30:L30" si="44">H30+E30+B30</f>
        <v>181</v>
      </c>
      <c r="L30" s="33">
        <f t="shared" si="44"/>
        <v>180</v>
      </c>
      <c r="M30" s="61">
        <v>46203.0</v>
      </c>
      <c r="N30" s="88" t="s">
        <v>41</v>
      </c>
      <c r="Q30" s="39"/>
      <c r="R30" s="38"/>
    </row>
    <row r="31">
      <c r="A31" s="27" t="s">
        <v>18</v>
      </c>
      <c r="B31" s="28">
        <v>59.0</v>
      </c>
      <c r="C31" s="31">
        <v>51.0</v>
      </c>
      <c r="D31" s="32">
        <f t="shared" si="45"/>
        <v>1.156862745</v>
      </c>
      <c r="E31" s="28">
        <v>42.0</v>
      </c>
      <c r="F31" s="31">
        <v>51.0</v>
      </c>
      <c r="G31" s="32">
        <f t="shared" si="46"/>
        <v>0.8235294118</v>
      </c>
      <c r="H31" s="28">
        <v>42.0</v>
      </c>
      <c r="I31" s="31">
        <v>54.0</v>
      </c>
      <c r="J31" s="32">
        <f t="shared" si="47"/>
        <v>0.7777777778</v>
      </c>
      <c r="K31" s="20">
        <f t="shared" ref="K31:L31" si="48">H31+E31+B31</f>
        <v>143</v>
      </c>
      <c r="L31" s="33">
        <f t="shared" si="48"/>
        <v>156</v>
      </c>
      <c r="M31" s="61">
        <v>46203.0</v>
      </c>
      <c r="N31" s="88" t="s">
        <v>42</v>
      </c>
      <c r="Q31" s="39"/>
      <c r="R31" s="38"/>
    </row>
    <row r="32">
      <c r="A32" s="27" t="s">
        <v>19</v>
      </c>
      <c r="B32" s="28">
        <v>49.0</v>
      </c>
      <c r="C32" s="31">
        <v>47.0</v>
      </c>
      <c r="D32" s="32">
        <f t="shared" si="45"/>
        <v>1.042553191</v>
      </c>
      <c r="E32" s="28">
        <v>47.0</v>
      </c>
      <c r="F32" s="31">
        <v>47.0</v>
      </c>
      <c r="G32" s="32">
        <f t="shared" si="46"/>
        <v>1</v>
      </c>
      <c r="H32" s="28">
        <v>45.0</v>
      </c>
      <c r="I32" s="31">
        <v>50.0</v>
      </c>
      <c r="J32" s="32">
        <f t="shared" si="47"/>
        <v>0.9</v>
      </c>
      <c r="K32" s="20">
        <f t="shared" ref="K32:L32" si="49">H32+E32+B32</f>
        <v>141</v>
      </c>
      <c r="L32" s="33">
        <f t="shared" si="49"/>
        <v>144</v>
      </c>
      <c r="M32" s="61">
        <v>46203.0</v>
      </c>
      <c r="N32" s="88" t="s">
        <v>43</v>
      </c>
      <c r="Q32" s="39"/>
      <c r="R32" s="38"/>
    </row>
    <row r="33">
      <c r="A33" s="27" t="s">
        <v>20</v>
      </c>
      <c r="B33" s="42">
        <v>59.0</v>
      </c>
      <c r="C33" s="31">
        <v>56.0</v>
      </c>
      <c r="D33" s="32">
        <f t="shared" si="45"/>
        <v>1.053571429</v>
      </c>
      <c r="E33" s="28">
        <v>52.0</v>
      </c>
      <c r="F33" s="31">
        <v>56.0</v>
      </c>
      <c r="G33" s="32">
        <f t="shared" si="46"/>
        <v>0.9285714286</v>
      </c>
      <c r="H33" s="28">
        <v>50.0</v>
      </c>
      <c r="I33" s="31">
        <v>59.0</v>
      </c>
      <c r="J33" s="32">
        <f t="shared" si="47"/>
        <v>0.8474576271</v>
      </c>
      <c r="K33" s="20">
        <f t="shared" ref="K33:L33" si="50">H33+E33+B33</f>
        <v>161</v>
      </c>
      <c r="L33" s="33">
        <f t="shared" si="50"/>
        <v>171</v>
      </c>
      <c r="M33" s="61">
        <v>46203.0</v>
      </c>
      <c r="N33" s="88" t="s">
        <v>44</v>
      </c>
      <c r="O33" s="77">
        <f>K34/L34</f>
        <v>0.9615975422</v>
      </c>
      <c r="Q33" s="36">
        <f>K34-L34</f>
        <v>-25</v>
      </c>
    </row>
    <row r="34">
      <c r="A34" s="44" t="s">
        <v>21</v>
      </c>
      <c r="B34" s="45">
        <f t="shared" ref="B34:C34" si="51">sum(B30:B33)</f>
        <v>235</v>
      </c>
      <c r="C34" s="45">
        <f t="shared" si="51"/>
        <v>213</v>
      </c>
      <c r="D34" s="32">
        <f t="shared" si="45"/>
        <v>1.103286385</v>
      </c>
      <c r="E34" s="45">
        <f t="shared" ref="E34:F34" si="52">sum(E30:E33)</f>
        <v>198</v>
      </c>
      <c r="F34" s="45">
        <f t="shared" si="52"/>
        <v>213</v>
      </c>
      <c r="G34" s="32">
        <f t="shared" si="46"/>
        <v>0.9295774648</v>
      </c>
      <c r="H34" s="45">
        <f t="shared" ref="H34:I34" si="53">sum(H30:H33)</f>
        <v>193</v>
      </c>
      <c r="I34" s="45">
        <f t="shared" si="53"/>
        <v>225</v>
      </c>
      <c r="J34" s="32">
        <f t="shared" si="47"/>
        <v>0.8577777778</v>
      </c>
      <c r="K34" s="45">
        <f t="shared" ref="K34:L34" si="54">sum(K30:K33)</f>
        <v>626</v>
      </c>
      <c r="L34" s="48">
        <f t="shared" si="54"/>
        <v>651</v>
      </c>
      <c r="O34" s="39"/>
      <c r="P34" s="61"/>
    </row>
    <row r="35">
      <c r="A35" s="27" t="s">
        <v>22</v>
      </c>
      <c r="B35" s="20">
        <v>40.0</v>
      </c>
      <c r="C35" s="31">
        <v>34.0</v>
      </c>
      <c r="D35" s="32">
        <f t="shared" si="45"/>
        <v>1.176470588</v>
      </c>
      <c r="E35" s="28">
        <v>37.0</v>
      </c>
      <c r="F35" s="31">
        <v>34.0</v>
      </c>
      <c r="G35" s="32">
        <f t="shared" si="46"/>
        <v>1.088235294</v>
      </c>
      <c r="H35" s="28">
        <v>40.0</v>
      </c>
      <c r="I35" s="31">
        <v>36.0</v>
      </c>
      <c r="J35" s="32">
        <f t="shared" si="47"/>
        <v>1.111111111</v>
      </c>
      <c r="K35" s="20">
        <f t="shared" ref="K35:L35" si="55">H35+E35+B35</f>
        <v>117</v>
      </c>
      <c r="L35" s="33">
        <f t="shared" si="55"/>
        <v>104</v>
      </c>
      <c r="M35" s="61">
        <v>46203.0</v>
      </c>
      <c r="N35" s="88" t="s">
        <v>45</v>
      </c>
      <c r="O35" s="39"/>
      <c r="P35" s="61"/>
    </row>
    <row r="36">
      <c r="A36" s="27" t="s">
        <v>23</v>
      </c>
      <c r="B36" s="20">
        <v>32.0</v>
      </c>
      <c r="C36" s="31">
        <v>44.0</v>
      </c>
      <c r="D36" s="32">
        <f t="shared" si="45"/>
        <v>0.7272727273</v>
      </c>
      <c r="E36" s="28">
        <v>52.0</v>
      </c>
      <c r="F36" s="31">
        <v>44.0</v>
      </c>
      <c r="G36" s="32">
        <f t="shared" si="46"/>
        <v>1.181818182</v>
      </c>
      <c r="H36" s="28">
        <v>35.0</v>
      </c>
      <c r="I36" s="31">
        <v>46.0</v>
      </c>
      <c r="J36" s="32">
        <f t="shared" si="47"/>
        <v>0.7608695652</v>
      </c>
      <c r="K36" s="20">
        <f t="shared" ref="K36:L36" si="56">H36+E36+B36</f>
        <v>119</v>
      </c>
      <c r="L36" s="33">
        <f t="shared" si="56"/>
        <v>134</v>
      </c>
      <c r="M36" s="61">
        <v>46203.0</v>
      </c>
      <c r="N36" s="88" t="s">
        <v>46</v>
      </c>
      <c r="O36" s="39"/>
      <c r="P36" s="61"/>
    </row>
    <row r="37">
      <c r="A37" s="27" t="s">
        <v>24</v>
      </c>
      <c r="B37" s="20">
        <v>20.0</v>
      </c>
      <c r="C37" s="31">
        <v>20.0</v>
      </c>
      <c r="D37" s="32">
        <f t="shared" si="45"/>
        <v>1</v>
      </c>
      <c r="E37" s="28">
        <v>20.0</v>
      </c>
      <c r="F37" s="31">
        <v>20.0</v>
      </c>
      <c r="G37" s="32">
        <f t="shared" si="46"/>
        <v>1</v>
      </c>
      <c r="H37" s="28">
        <v>31.0</v>
      </c>
      <c r="I37" s="31">
        <v>21.0</v>
      </c>
      <c r="J37" s="32">
        <f t="shared" si="47"/>
        <v>1.476190476</v>
      </c>
      <c r="K37" s="20">
        <f t="shared" ref="K37:L37" si="57">H37+E37+B37</f>
        <v>71</v>
      </c>
      <c r="L37" s="33">
        <f t="shared" si="57"/>
        <v>61</v>
      </c>
      <c r="M37" s="61">
        <v>46203.0</v>
      </c>
      <c r="N37" s="88" t="s">
        <v>47</v>
      </c>
      <c r="O37" s="77">
        <f>K38/L38</f>
        <v>1.026755853</v>
      </c>
      <c r="Q37" s="36">
        <f>K38-L38</f>
        <v>8</v>
      </c>
    </row>
    <row r="38">
      <c r="A38" s="51" t="s">
        <v>25</v>
      </c>
      <c r="B38" s="52">
        <f t="shared" ref="B38:C38" si="58">sum(B35:B37)</f>
        <v>92</v>
      </c>
      <c r="C38" s="52">
        <f t="shared" si="58"/>
        <v>98</v>
      </c>
      <c r="D38" s="76">
        <f t="shared" si="45"/>
        <v>0.9387755102</v>
      </c>
      <c r="E38" s="52">
        <f t="shared" ref="E38:F38" si="59">sum(E35:E37)</f>
        <v>109</v>
      </c>
      <c r="F38" s="52">
        <f t="shared" si="59"/>
        <v>98</v>
      </c>
      <c r="G38" s="76">
        <f t="shared" si="46"/>
        <v>1.112244898</v>
      </c>
      <c r="H38" s="52">
        <f t="shared" ref="H38:I38" si="60">sum(H35:H37)</f>
        <v>106</v>
      </c>
      <c r="I38" s="52">
        <f t="shared" si="60"/>
        <v>103</v>
      </c>
      <c r="J38" s="76">
        <f t="shared" si="47"/>
        <v>1.029126214</v>
      </c>
      <c r="K38" s="52">
        <f t="shared" ref="K38:L38" si="61">sum(K35:K37)</f>
        <v>307</v>
      </c>
      <c r="L38" s="55">
        <f t="shared" si="61"/>
        <v>299</v>
      </c>
      <c r="O38" s="13"/>
    </row>
    <row r="40">
      <c r="O40" s="77" t="str">
        <f>#REF!/#REF!</f>
        <v>#REF!</v>
      </c>
      <c r="Q40" s="36" t="str">
        <f>#REF!-#REF!</f>
        <v>#REF!</v>
      </c>
      <c r="R40" s="36" t="str">
        <f>Q40/1.2</f>
        <v>#REF!</v>
      </c>
    </row>
  </sheetData>
  <mergeCells count="14">
    <mergeCell ref="F18:I18"/>
    <mergeCell ref="J18:M18"/>
    <mergeCell ref="A27:L27"/>
    <mergeCell ref="B28:C28"/>
    <mergeCell ref="E28:G28"/>
    <mergeCell ref="H28:J28"/>
    <mergeCell ref="A3:W3"/>
    <mergeCell ref="B4:E4"/>
    <mergeCell ref="G4:K4"/>
    <mergeCell ref="M4:Q4"/>
    <mergeCell ref="T4:W4"/>
    <mergeCell ref="A17:R17"/>
    <mergeCell ref="B18:E18"/>
    <mergeCell ref="O18:R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